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Source\Pulse\ventilator_scenarios\source\data\"/>
    </mc:Choice>
  </mc:AlternateContent>
  <xr:revisionPtr revIDLastSave="0" documentId="13_ncr:1_{CC6A2E9E-4B1F-4A80-872F-6A32EDC10C9E}" xr6:coauthVersionLast="47" xr6:coauthVersionMax="47" xr10:uidLastSave="{00000000-0000-0000-0000-000000000000}"/>
  <bookViews>
    <workbookView xWindow="27315" yWindow="4230" windowWidth="23685" windowHeight="24570" xr2:uid="{00000000-000D-0000-FFFF-FFFF00000000}"/>
  </bookViews>
  <sheets>
    <sheet name="Patients" sheetId="6" r:id="rId1"/>
    <sheet name="Substances" sheetId="5" r:id="rId2"/>
    <sheet name="Compounds" sheetId="8" r:id="rId3"/>
    <sheet name="Environment" sheetId="9" r:id="rId4"/>
    <sheet name="Nutrition" sheetId="10" r:id="rId5"/>
    <sheet name="ECG" sheetId="14" r:id="rId6"/>
    <sheet name="Stabilization" sheetId="11" r:id="rId7"/>
    <sheet name="Configuration" sheetId="12" r:id="rId8"/>
    <sheet name="Tissue" sheetId="13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L33" i="5" l="1"/>
  <c r="DV75" i="5"/>
  <c r="DV73" i="5"/>
  <c r="DV71" i="5"/>
  <c r="DV69" i="5"/>
  <c r="DV67" i="5"/>
  <c r="DV65" i="5"/>
  <c r="DV63" i="5"/>
  <c r="DV61" i="5"/>
  <c r="DV59" i="5"/>
  <c r="DV57" i="5"/>
  <c r="DV55" i="5"/>
  <c r="DV53" i="5"/>
  <c r="DV51" i="5"/>
  <c r="EG33" i="5"/>
  <c r="EF33" i="5"/>
  <c r="EE33" i="5"/>
  <c r="ED33" i="5"/>
  <c r="EC33" i="5"/>
  <c r="EB33" i="5"/>
  <c r="EA33" i="5"/>
  <c r="DZ33" i="5"/>
  <c r="DY33" i="5"/>
  <c r="DX33" i="5"/>
  <c r="DW33" i="5"/>
  <c r="DU33" i="5"/>
  <c r="DT33" i="5"/>
  <c r="DS33" i="5"/>
  <c r="DQ33" i="5"/>
  <c r="DP33" i="5"/>
  <c r="DO33" i="5"/>
  <c r="DN33" i="5"/>
  <c r="DM33" i="5"/>
  <c r="DL33" i="5"/>
  <c r="DK33" i="5"/>
  <c r="DJ33" i="5"/>
  <c r="DI33" i="5"/>
  <c r="DH33" i="5"/>
  <c r="DG33" i="5"/>
  <c r="DE33" i="5"/>
  <c r="DD33" i="5"/>
  <c r="DC33" i="5"/>
  <c r="DB33" i="5"/>
  <c r="EH23" i="5"/>
  <c r="EG23" i="5"/>
  <c r="EF23" i="5"/>
  <c r="EE23" i="5"/>
  <c r="ED23" i="5"/>
  <c r="EC23" i="5"/>
  <c r="EB23" i="5"/>
  <c r="EA23" i="5"/>
  <c r="DZ23" i="5"/>
  <c r="DY23" i="5"/>
  <c r="DX23" i="5"/>
  <c r="DW23" i="5"/>
  <c r="DV23" i="5"/>
  <c r="DU23" i="5"/>
  <c r="DT23" i="5"/>
  <c r="DS23" i="5"/>
  <c r="DR23" i="5"/>
  <c r="DQ23" i="5"/>
  <c r="DP23" i="5"/>
  <c r="DO23" i="5"/>
  <c r="DN23" i="5"/>
  <c r="DM23" i="5"/>
  <c r="DL23" i="5"/>
  <c r="DK23" i="5"/>
  <c r="DJ23" i="5"/>
  <c r="DI23" i="5"/>
  <c r="DH23" i="5"/>
  <c r="DG23" i="5"/>
  <c r="DF23" i="5"/>
  <c r="DE23" i="5"/>
  <c r="DD23" i="5"/>
  <c r="DC23" i="5"/>
  <c r="DB23" i="5"/>
  <c r="EO23" i="5" l="1"/>
  <c r="EN23" i="5"/>
  <c r="EM23" i="5"/>
  <c r="EI23" i="5"/>
  <c r="EJ23" i="5"/>
  <c r="EK23" i="5"/>
  <c r="EL23" i="5"/>
  <c r="ES33" i="5" l="1"/>
  <c r="ER33" i="5"/>
  <c r="EQ33" i="5"/>
  <c r="EP33" i="5"/>
  <c r="ES23" i="5"/>
  <c r="ER23" i="5"/>
  <c r="EQ23" i="5"/>
  <c r="EP23" i="5"/>
  <c r="AP33" i="5"/>
  <c r="AL33" i="5" l="1"/>
  <c r="FI33" i="5"/>
  <c r="FH33" i="5"/>
  <c r="FG33" i="5"/>
  <c r="FF33" i="5"/>
  <c r="FE33" i="5"/>
  <c r="FD33" i="5"/>
  <c r="FC33" i="5"/>
  <c r="FB33" i="5"/>
  <c r="FA33" i="5"/>
  <c r="EZ33" i="5"/>
  <c r="EY33" i="5"/>
  <c r="EX33" i="5"/>
  <c r="EW33" i="5"/>
  <c r="EV33" i="5"/>
  <c r="EU33" i="5"/>
  <c r="ET33" i="5"/>
  <c r="EK33" i="5"/>
  <c r="EJ33" i="5"/>
  <c r="EI33" i="5"/>
  <c r="FJ23" i="5"/>
  <c r="FI23" i="5"/>
  <c r="FH23" i="5"/>
  <c r="FG23" i="5"/>
  <c r="FF23" i="5"/>
  <c r="FE23" i="5"/>
  <c r="FD23" i="5"/>
  <c r="FC23" i="5"/>
  <c r="FB23" i="5"/>
  <c r="FA23" i="5"/>
  <c r="EZ23" i="5"/>
  <c r="EY23" i="5"/>
  <c r="EX23" i="5"/>
  <c r="EW23" i="5"/>
  <c r="EV23" i="5"/>
  <c r="EU23" i="5"/>
  <c r="ET23" i="5"/>
  <c r="CX23" i="5"/>
</calcChain>
</file>

<file path=xl/sharedStrings.xml><?xml version="1.0" encoding="utf-8"?>
<sst xmlns="http://schemas.openxmlformats.org/spreadsheetml/2006/main" count="5501" uniqueCount="799">
  <si>
    <t>Name</t>
  </si>
  <si>
    <t>State</t>
  </si>
  <si>
    <t>Substance</t>
  </si>
  <si>
    <t>HeartRateModifier</t>
  </si>
  <si>
    <t>RespirationRateModifier</t>
  </si>
  <si>
    <t>Age</t>
  </si>
  <si>
    <t>Weight</t>
  </si>
  <si>
    <t>Height</t>
  </si>
  <si>
    <t>RightLungRatio</t>
  </si>
  <si>
    <t>Male</t>
  </si>
  <si>
    <t>Density</t>
  </si>
  <si>
    <t>Data Type</t>
  </si>
  <si>
    <t>Oxygen</t>
  </si>
  <si>
    <t>CarbonDioxide</t>
  </si>
  <si>
    <t>Hemoglobin</t>
  </si>
  <si>
    <t>Epinephrine</t>
  </si>
  <si>
    <t>Gas</t>
  </si>
  <si>
    <t>Liquid</t>
  </si>
  <si>
    <t>Standard</t>
  </si>
  <si>
    <t>44 yr</t>
  </si>
  <si>
    <t>71 in</t>
  </si>
  <si>
    <t>170 lb</t>
  </si>
  <si>
    <t>72 bpm</t>
  </si>
  <si>
    <t>Molecular</t>
  </si>
  <si>
    <t>64458 g/mol</t>
  </si>
  <si>
    <t>Cynthia</t>
  </si>
  <si>
    <t>Gus</t>
  </si>
  <si>
    <t>Joel</t>
  </si>
  <si>
    <t>Nathan</t>
  </si>
  <si>
    <t>Rick</t>
  </si>
  <si>
    <t>Female</t>
  </si>
  <si>
    <t>30 yr</t>
  </si>
  <si>
    <t>32 yr</t>
  </si>
  <si>
    <t>23 yr</t>
  </si>
  <si>
    <t>28 yr</t>
  </si>
  <si>
    <t>185 lb</t>
  </si>
  <si>
    <t>190 lb</t>
  </si>
  <si>
    <t>161 lb</t>
  </si>
  <si>
    <t>72 in</t>
  </si>
  <si>
    <t>64 in</t>
  </si>
  <si>
    <t>68 in</t>
  </si>
  <si>
    <t>93 bpm</t>
  </si>
  <si>
    <t>70 in</t>
  </si>
  <si>
    <t>MolarMass</t>
  </si>
  <si>
    <t xml:space="preserve"> Nitrogen</t>
  </si>
  <si>
    <t xml:space="preserve"> Ketamine</t>
  </si>
  <si>
    <t xml:space="preserve"> Midazolam</t>
  </si>
  <si>
    <t xml:space="preserve"> Morphine</t>
  </si>
  <si>
    <t xml:space="preserve"> Naloxone</t>
  </si>
  <si>
    <t xml:space="preserve"> Propofol</t>
  </si>
  <si>
    <t xml:space="preserve"> Succinylcholine</t>
  </si>
  <si>
    <t xml:space="preserve"> Desflurane</t>
  </si>
  <si>
    <t xml:space="preserve"> Fentanyl</t>
  </si>
  <si>
    <t>Compound Name</t>
  </si>
  <si>
    <t>Concentration</t>
  </si>
  <si>
    <t>Protein</t>
  </si>
  <si>
    <t>Saline</t>
  </si>
  <si>
    <t>Blood</t>
  </si>
  <si>
    <t>3.7 g/dL</t>
  </si>
  <si>
    <t>11.1 g/dL</t>
  </si>
  <si>
    <t>SubstanceCompound</t>
  </si>
  <si>
    <t>Component Name</t>
  </si>
  <si>
    <t>HeartRateBaseline</t>
  </si>
  <si>
    <t>Rocuronium</t>
  </si>
  <si>
    <t>RespirationRateBaseline</t>
  </si>
  <si>
    <t>28.01340 g/mol</t>
  </si>
  <si>
    <t>44.01 g/mol</t>
  </si>
  <si>
    <t>1496000 g/m^3</t>
  </si>
  <si>
    <t>Soldier</t>
  </si>
  <si>
    <t>84 bpm</t>
  </si>
  <si>
    <t>Hassan</t>
  </si>
  <si>
    <t>18 bpm</t>
  </si>
  <si>
    <t>14 bpm</t>
  </si>
  <si>
    <t>15 bpm</t>
  </si>
  <si>
    <t>130 lb</t>
  </si>
  <si>
    <t>SolubilityCoefficient</t>
  </si>
  <si>
    <t>RelativeDiffusionCoefficient</t>
  </si>
  <si>
    <t>Environment Data</t>
  </si>
  <si>
    <t>AirVelocity</t>
  </si>
  <si>
    <t>AmbientTemperature</t>
  </si>
  <si>
    <t>AtmosphericPressure</t>
  </si>
  <si>
    <t>ClothingResistance</t>
  </si>
  <si>
    <t>Emissivity</t>
  </si>
  <si>
    <t>MeanRadiantTemperature</t>
  </si>
  <si>
    <t>RelativeHumidity</t>
  </si>
  <si>
    <t>RespirationAmbientTemperature</t>
  </si>
  <si>
    <t>Air</t>
  </si>
  <si>
    <t>Nitrogen</t>
  </si>
  <si>
    <t>SurroundingType</t>
  </si>
  <si>
    <t>IonicState</t>
  </si>
  <si>
    <t>AcidDissociationConstant</t>
  </si>
  <si>
    <t>LogP</t>
  </si>
  <si>
    <t>FractionUnboundInPlasma</t>
  </si>
  <si>
    <t>BloodPlasmaRatio</t>
  </si>
  <si>
    <t>IntrinsicClearance</t>
  </si>
  <si>
    <t>SystemicClearance</t>
  </si>
  <si>
    <t>FractionExcretedInFeces</t>
  </si>
  <si>
    <t>760 mmHg</t>
  </si>
  <si>
    <t>0.1 m/s</t>
  </si>
  <si>
    <t>0 mL/min kg</t>
  </si>
  <si>
    <t>WeakBase</t>
  </si>
  <si>
    <t>FractionAmount</t>
  </si>
  <si>
    <t>0.024 1/atm</t>
  </si>
  <si>
    <t>0.57 1/atm</t>
  </si>
  <si>
    <t>0.012 1/atm</t>
  </si>
  <si>
    <t>Submerged</t>
  </si>
  <si>
    <t>Water</t>
  </si>
  <si>
    <t>0 m/s</t>
  </si>
  <si>
    <t>10 C</t>
  </si>
  <si>
    <t>1260 mmHg</t>
  </si>
  <si>
    <t>3.0 clo</t>
  </si>
  <si>
    <t>15 C</t>
  </si>
  <si>
    <t>16 C</t>
  </si>
  <si>
    <t>BindingProtein</t>
  </si>
  <si>
    <t>Albumin</t>
  </si>
  <si>
    <t>PartitionCoefficient</t>
  </si>
  <si>
    <t>Base</t>
  </si>
  <si>
    <t>285.34 g/mol</t>
  </si>
  <si>
    <t>290.4 g/mol</t>
  </si>
  <si>
    <t>327.37 g/mol</t>
  </si>
  <si>
    <t>183.2 g/mol</t>
  </si>
  <si>
    <t>330.74 g/mol</t>
  </si>
  <si>
    <t>358.43 g/mol</t>
  </si>
  <si>
    <t>Neutral</t>
  </si>
  <si>
    <t>529.77 g/mol</t>
  </si>
  <si>
    <t>178.27 g/mol</t>
  </si>
  <si>
    <t>237.73 g/mol</t>
  </si>
  <si>
    <t>Acid</t>
  </si>
  <si>
    <t>3213 g/m^3</t>
  </si>
  <si>
    <t>176.6 g/mol</t>
  </si>
  <si>
    <t>7.2 mL/min kg</t>
  </si>
  <si>
    <t>Carbohydrate</t>
  </si>
  <si>
    <t>Fat</t>
  </si>
  <si>
    <t>Sodium</t>
  </si>
  <si>
    <t>Soylent</t>
  </si>
  <si>
    <t>130 g</t>
  </si>
  <si>
    <t>1.25 L</t>
  </si>
  <si>
    <t>Nutrition Data</t>
  </si>
  <si>
    <t>1.0 L</t>
  </si>
  <si>
    <t>ExerciseEnvironment</t>
  </si>
  <si>
    <t>2.5 m/s</t>
  </si>
  <si>
    <t>35 C</t>
  </si>
  <si>
    <t>SubmergedFreezing</t>
  </si>
  <si>
    <t>Property</t>
  </si>
  <si>
    <t>Criteria</t>
  </si>
  <si>
    <t>PercentDifference</t>
  </si>
  <si>
    <t>Compartment</t>
  </si>
  <si>
    <t>Compartment Type</t>
  </si>
  <si>
    <t>Resting</t>
  </si>
  <si>
    <t>HeartRate</t>
  </si>
  <si>
    <t>CardiacOutput</t>
  </si>
  <si>
    <t>DiastolicArterialPressure</t>
  </si>
  <si>
    <t>SystolicArterialPressure</t>
  </si>
  <si>
    <t>TidalVolume</t>
  </si>
  <si>
    <t>OxygenSaturation</t>
  </si>
  <si>
    <t>ConvergenceTime</t>
  </si>
  <si>
    <t>MinimumReactionTime</t>
  </si>
  <si>
    <t>MaxAllowedStabilizationTime</t>
  </si>
  <si>
    <t>25 s</t>
  </si>
  <si>
    <t>15 s</t>
  </si>
  <si>
    <t>600 s</t>
  </si>
  <si>
    <t>TimedStabilizationLength</t>
  </si>
  <si>
    <t>BodyFatFraction</t>
  </si>
  <si>
    <t>22.9898 g/mol</t>
  </si>
  <si>
    <t>66500 g/mol</t>
  </si>
  <si>
    <t>Urea</t>
  </si>
  <si>
    <t>60.06 g/mol</t>
  </si>
  <si>
    <t>Creatinine</t>
  </si>
  <si>
    <t>Glucose</t>
  </si>
  <si>
    <t>180.1559 g/mol</t>
  </si>
  <si>
    <t>Insulin</t>
  </si>
  <si>
    <t>5808 g/mol</t>
  </si>
  <si>
    <t>Acetoacetate</t>
  </si>
  <si>
    <t>Bicarbonate</t>
  </si>
  <si>
    <t>Calcium</t>
  </si>
  <si>
    <t>Lactate</t>
  </si>
  <si>
    <t>Tristearin</t>
  </si>
  <si>
    <t>891.48 g/mol</t>
  </si>
  <si>
    <t>102.09 g/mol</t>
  </si>
  <si>
    <t>61.02 g/mol</t>
  </si>
  <si>
    <t>40.08 g/mol</t>
  </si>
  <si>
    <t>113.12 g/mol</t>
  </si>
  <si>
    <t>22 C</t>
  </si>
  <si>
    <t>0.5 clo</t>
  </si>
  <si>
    <t>862 kg/m^3</t>
  </si>
  <si>
    <t>ProteinDigestionRate</t>
  </si>
  <si>
    <t>FatDigestionRate</t>
  </si>
  <si>
    <t>CarbohydrateDigestionRate</t>
  </si>
  <si>
    <t>0.055 g/min</t>
  </si>
  <si>
    <t>0.071 g/min</t>
  </si>
  <si>
    <t>0.157 g/min</t>
  </si>
  <si>
    <t>Albuterol</t>
  </si>
  <si>
    <t>Furosemide</t>
  </si>
  <si>
    <t>Pralidoxime</t>
  </si>
  <si>
    <t>Prednisone</t>
  </si>
  <si>
    <t>Base Configuration</t>
  </si>
  <si>
    <t>ECGDataFile</t>
  </si>
  <si>
    <t>StabilizationCriteriaFile</t>
  </si>
  <si>
    <t>KelmanEquation</t>
  </si>
  <si>
    <t>Value</t>
  </si>
  <si>
    <t>Notes</t>
  </si>
  <si>
    <t xml:space="preserve">[coefficient1,2,3,4,5,6,7,Convergence,MaxIter] </t>
  </si>
  <si>
    <t>Circuit</t>
  </si>
  <si>
    <t>DefaultClosedElectricResistance</t>
  </si>
  <si>
    <t>DefaultClosedFlowResistance</t>
  </si>
  <si>
    <t>DefaultClosedHeatResistance</t>
  </si>
  <si>
    <t>DefaultOpenElectricResistance</t>
  </si>
  <si>
    <t>DefaultOpenFlowResistance</t>
  </si>
  <si>
    <t>DefaultOpenHeatResistance</t>
  </si>
  <si>
    <t>MachineClosedResistance</t>
  </si>
  <si>
    <t>MachineOpenResistance</t>
  </si>
  <si>
    <t>RespiratoryClosedResistance</t>
  </si>
  <si>
    <t>RespiratoryOpenResistance</t>
  </si>
  <si>
    <t>Constants</t>
  </si>
  <si>
    <t>StefanBoltzmann</t>
  </si>
  <si>
    <t>MethemoglobinNitriteEquilibriumConstant</t>
  </si>
  <si>
    <t>MethemoglobinNitriteRateConstant</t>
  </si>
  <si>
    <t>OxygenMetabolicConstant</t>
  </si>
  <si>
    <t>UniversalGasConstant</t>
  </si>
  <si>
    <t>Energy</t>
  </si>
  <si>
    <t>BodySpecificHeat</t>
  </si>
  <si>
    <t>CarbonDioxideProductionFromOxygenConsumptionConstant</t>
  </si>
  <si>
    <t>CoreTemperatureLow</t>
  </si>
  <si>
    <t>CoreTemperatureHigh</t>
  </si>
  <si>
    <t>DeltaCoreTemperatureLow</t>
  </si>
  <si>
    <t>EnergyPerATP</t>
  </si>
  <si>
    <t>SweatHeatTransfer</t>
  </si>
  <si>
    <t>VaporizationEnergy</t>
  </si>
  <si>
    <t>VaporSpecificHeat</t>
  </si>
  <si>
    <t>Environment</t>
  </si>
  <si>
    <t>AirDensity</t>
  </si>
  <si>
    <t>AirSpecificHeat</t>
  </si>
  <si>
    <t>MolarMassOfDryAir</t>
  </si>
  <si>
    <t>MolarMassOfWaterVapor</t>
  </si>
  <si>
    <t>StandardEnvironment</t>
  </si>
  <si>
    <t>WaterDensity</t>
  </si>
  <si>
    <t>AverageRedBloodCellVolume</t>
  </si>
  <si>
    <t>AverageMassHemoglobinPerRedBloodCell</t>
  </si>
  <si>
    <t>InitialMeal</t>
  </si>
  <si>
    <t>MinimumBloodVolumeFraction</t>
  </si>
  <si>
    <t>StandardTotalLungCapacity</t>
  </si>
  <si>
    <t>StandardAlveoliSurfaceArea</t>
  </si>
  <si>
    <t>StandardDiffusionDistance</t>
  </si>
  <si>
    <t>StandardOxygenDiffusionCoefficient</t>
  </si>
  <si>
    <t>StandardPulmonaryCapillaryCoverage</t>
  </si>
  <si>
    <t>Respiratory</t>
  </si>
  <si>
    <t>CentralVentilatoryControllerGain</t>
  </si>
  <si>
    <t>ChestRecoilPower</t>
  </si>
  <si>
    <t>DefaultRespiratoryDrivePressure</t>
  </si>
  <si>
    <t>PeripheralVentilatoryControllerGain</t>
  </si>
  <si>
    <t>PleuralComplianceSensitivity</t>
  </si>
  <si>
    <t>VentilationTidalVolumeIntercept</t>
  </si>
  <si>
    <t>VentilatoryOcclusionPressure</t>
  </si>
  <si>
    <t>Blood Chemistry</t>
  </si>
  <si>
    <t>Cardiovascular</t>
  </si>
  <si>
    <t>TimeStep</t>
  </si>
  <si>
    <t>528.23 g/mol</t>
  </si>
  <si>
    <t>0.27 1/atm</t>
  </si>
  <si>
    <t>AAG</t>
  </si>
  <si>
    <t>2.7 mL/min kg</t>
  </si>
  <si>
    <t>1.44 mL/min kg</t>
  </si>
  <si>
    <t>1.3 mL/min kg</t>
  </si>
  <si>
    <t>2 mL/min kg</t>
  </si>
  <si>
    <t>14 mL/min kg</t>
  </si>
  <si>
    <t>15 mL/min kg</t>
  </si>
  <si>
    <t>3 mL/min kg</t>
  </si>
  <si>
    <t>CoreTemperature</t>
  </si>
  <si>
    <t>SkinTemperature</t>
  </si>
  <si>
    <t xml:space="preserve">  </t>
  </si>
  <si>
    <t xml:space="preserve">Oxyhemoglobin </t>
  </si>
  <si>
    <t xml:space="preserve">Carbaminohemoglobin  </t>
  </si>
  <si>
    <t xml:space="preserve">OxyCarbaminohemoglobin  </t>
  </si>
  <si>
    <t>Oxyhemoglobin</t>
  </si>
  <si>
    <t>23 g</t>
  </si>
  <si>
    <t>57 g</t>
  </si>
  <si>
    <t>20 g</t>
  </si>
  <si>
    <t>380 mg</t>
  </si>
  <si>
    <t>300 mg</t>
  </si>
  <si>
    <t>16 bpm</t>
  </si>
  <si>
    <t>1842.12 g/m^3</t>
  </si>
  <si>
    <t>1251 g/m^3</t>
  </si>
  <si>
    <t>1429 g/m^3</t>
  </si>
  <si>
    <t>12 bpm</t>
  </si>
  <si>
    <t>20 bpm</t>
  </si>
  <si>
    <t>0.0 m/s</t>
  </si>
  <si>
    <t>64634.04 g/mol</t>
  </si>
  <si>
    <t>32.00 g/mol</t>
  </si>
  <si>
    <t>64586.00 g/mol</t>
  </si>
  <si>
    <t>64762.04 g/mol</t>
  </si>
  <si>
    <t>0.00241 mL/min kg</t>
  </si>
  <si>
    <t>0.322 g/dL</t>
  </si>
  <si>
    <t>4.5 g/dL</t>
  </si>
  <si>
    <t>0.0257 g/dL</t>
  </si>
  <si>
    <t>0.08 g/dL</t>
  </si>
  <si>
    <t>0.107 g/dL</t>
  </si>
  <si>
    <t>.010 g/dL</t>
  </si>
  <si>
    <t>.001 g/dL</t>
  </si>
  <si>
    <t>Hypobaric3000m</t>
  </si>
  <si>
    <t>Hypobaric4000m</t>
  </si>
  <si>
    <t>22 yr</t>
  </si>
  <si>
    <t>Jeff</t>
  </si>
  <si>
    <t>25 yr</t>
  </si>
  <si>
    <t>180 lb</t>
  </si>
  <si>
    <t>Carol</t>
  </si>
  <si>
    <t>40 yr</t>
  </si>
  <si>
    <t>160 lb</t>
  </si>
  <si>
    <t>66 in</t>
  </si>
  <si>
    <t>Jane</t>
  </si>
  <si>
    <t>120 lb</t>
  </si>
  <si>
    <t>AnchorageDecember</t>
  </si>
  <si>
    <t>542 mmHg</t>
  </si>
  <si>
    <t>475 mmHg</t>
  </si>
  <si>
    <t>757 mmHg</t>
  </si>
  <si>
    <t>-10 C</t>
  </si>
  <si>
    <t>2.0 clo</t>
  </si>
  <si>
    <t>1.5 clo</t>
  </si>
  <si>
    <t>Bronchodilation</t>
  </si>
  <si>
    <t>DiastolicPressureModifier</t>
  </si>
  <si>
    <t>EC50</t>
  </si>
  <si>
    <t>NeuromuscularBlock</t>
  </si>
  <si>
    <t>Sedation</t>
  </si>
  <si>
    <t>SystolicPressureModifier</t>
  </si>
  <si>
    <t>TidalVolumeModifier</t>
  </si>
  <si>
    <t>AnchorageInside</t>
  </si>
  <si>
    <t>or all below</t>
  </si>
  <si>
    <t xml:space="preserve">      Clearance</t>
  </si>
  <si>
    <t xml:space="preserve">     ChargeInBlood</t>
  </si>
  <si>
    <t xml:space="preserve">     ReabsorptionRatio</t>
  </si>
  <si>
    <t xml:space="preserve">     TransportMaximum</t>
  </si>
  <si>
    <t>Renal Dynamics Choices</t>
  </si>
  <si>
    <t>Aerosolization (all or none)</t>
  </si>
  <si>
    <t>Clearance (all or none)</t>
  </si>
  <si>
    <t>Pharmacokinetics (all or none)</t>
  </si>
  <si>
    <t>Pharmacodynamics (all or none)</t>
  </si>
  <si>
    <t>Substance (State req'd others optional)</t>
  </si>
  <si>
    <t>0.0064 ug/mL</t>
  </si>
  <si>
    <t>Negative</t>
  </si>
  <si>
    <t>Positive</t>
  </si>
  <si>
    <t>546.0 ug/min</t>
  </si>
  <si>
    <t>0.375 g/min</t>
  </si>
  <si>
    <t>0.0 mL/min kg</t>
  </si>
  <si>
    <t>4.62 mL/min kg</t>
  </si>
  <si>
    <t>2.25 mL/min kg</t>
  </si>
  <si>
    <t>5 mL/min kg</t>
  </si>
  <si>
    <t>7 mL/min kg</t>
  </si>
  <si>
    <t>1.079 mL/min kg</t>
  </si>
  <si>
    <t>3.5 mL/min kg</t>
  </si>
  <si>
    <t>5.55 mL/min kg</t>
  </si>
  <si>
    <t>8 mL/min kg</t>
  </si>
  <si>
    <t>1.5 mL/min kg</t>
  </si>
  <si>
    <t>11.23 mL/min kg</t>
  </si>
  <si>
    <t>0.72 mL/min kg</t>
  </si>
  <si>
    <t>3.0 mL/min kg</t>
  </si>
  <si>
    <t>2.2 mL/min kg</t>
  </si>
  <si>
    <t>0.048 mL/min kg</t>
  </si>
  <si>
    <t>Reference Value</t>
  </si>
  <si>
    <t>Reference Source</t>
  </si>
  <si>
    <t>Notes/Page</t>
  </si>
  <si>
    <t>89.07 g/mol</t>
  </si>
  <si>
    <t>guyton2006medical</t>
  </si>
  <si>
    <t>p. 368</t>
  </si>
  <si>
    <t>Ca2+</t>
  </si>
  <si>
    <t>p. 453
assuming Ca ion</t>
  </si>
  <si>
    <t>INF</t>
  </si>
  <si>
    <t>p.368</t>
  </si>
  <si>
    <t>((.15*125)-(.215*77.3))/(.15*125)=.114</t>
  </si>
  <si>
    <t xml:space="preserve">bellomo2002bench
miller2002lactate
</t>
  </si>
  <si>
    <t xml:space="preserve">*Fully filtered by glomerulus &amp; not excreted in urine
[bellomo2002bench]
</t>
  </si>
  <si>
    <t>INF mg/min</t>
  </si>
  <si>
    <t>p. 368, moves with H2O &amp; Na cotransporters</t>
  </si>
  <si>
    <t>0.0 g/min</t>
  </si>
  <si>
    <t>0 g/day reabsorbed</t>
  </si>
  <si>
    <t>RenalClearance</t>
  </si>
  <si>
    <t xml:space="preserve">     FractionUnboundInPlasma</t>
  </si>
  <si>
    <t>0.5 mL/min kg</t>
  </si>
  <si>
    <t>50.0 mL/min kg</t>
  </si>
  <si>
    <t>0.4462 ug/mL</t>
  </si>
  <si>
    <t>0.4319 ug/mL</t>
  </si>
  <si>
    <t>0.0623 ug/mL</t>
  </si>
  <si>
    <t>0.0089 ug/mL</t>
  </si>
  <si>
    <t>0.2855 ug/mL</t>
  </si>
  <si>
    <t>0.2232 ug/mL</t>
  </si>
  <si>
    <t>0.7649 ug/mL</t>
  </si>
  <si>
    <t>0.5549 ug/mL</t>
  </si>
  <si>
    <t>0.5811 ug/mL</t>
  </si>
  <si>
    <t>30 mg/min</t>
  </si>
  <si>
    <t>1/140</t>
  </si>
  <si>
    <t>From validation: Reabsorption/Filtration = 13/31 = 0.42 or 1/50</t>
  </si>
  <si>
    <t>375 mg/min</t>
  </si>
  <si>
    <t>0.075 g/min</t>
  </si>
  <si>
    <t>75 mg/min</t>
  </si>
  <si>
    <t>p.956</t>
  </si>
  <si>
    <t>0.018 mL/min kg</t>
  </si>
  <si>
    <t>valtin1995renal</t>
  </si>
  <si>
    <t>5.0 m/s</t>
  </si>
  <si>
    <t>1.0 clo</t>
  </si>
  <si>
    <t>239.31 g/mol</t>
  </si>
  <si>
    <t>0.000031 ug/mL</t>
  </si>
  <si>
    <t>325.78 g/mol</t>
  </si>
  <si>
    <t>525 mmHg</t>
  </si>
  <si>
    <t>CheyenneMountainAprilCool</t>
  </si>
  <si>
    <t>CheyenneMountainAprilWarm</t>
  </si>
  <si>
    <t>CheyenneMountainAmbulance</t>
  </si>
  <si>
    <t>23 C</t>
  </si>
  <si>
    <t>27 g</t>
  </si>
  <si>
    <t>500 mg</t>
  </si>
  <si>
    <t>1.0 g</t>
  </si>
  <si>
    <t>0.5 L</t>
  </si>
  <si>
    <t>0.323 g/dL</t>
  </si>
  <si>
    <t>Sex</t>
  </si>
  <si>
    <t>Tissue Compartment</t>
  </si>
  <si>
    <t>TissueMass (kg)</t>
  </si>
  <si>
    <t>TissueVolume (L)</t>
  </si>
  <si>
    <t>EWFraction</t>
  </si>
  <si>
    <t>IWFraction</t>
  </si>
  <si>
    <t>NLFraction</t>
  </si>
  <si>
    <t>NPFraction</t>
  </si>
  <si>
    <t>AdiposeARatio</t>
  </si>
  <si>
    <t>AdiposeAAGRatio</t>
  </si>
  <si>
    <t>AdiposeLRatio</t>
  </si>
  <si>
    <t>AdiposeAPL</t>
  </si>
  <si>
    <t>M</t>
  </si>
  <si>
    <t>Adult</t>
  </si>
  <si>
    <t>Adipose</t>
  </si>
  <si>
    <t>14.5</t>
  </si>
  <si>
    <t>15.76</t>
  </si>
  <si>
    <t>0.135</t>
  </si>
  <si>
    <t>0.017</t>
  </si>
  <si>
    <t>0.79</t>
  </si>
  <si>
    <t>0.002</t>
  </si>
  <si>
    <t>0.049</t>
  </si>
  <si>
    <t>0.068</t>
  </si>
  <si>
    <t>0.4</t>
  </si>
  <si>
    <t>Separable adipose, Density used is 0.92 (kg/L)</t>
  </si>
  <si>
    <t>Bone</t>
  </si>
  <si>
    <t>10.5</t>
  </si>
  <si>
    <t>8.08</t>
  </si>
  <si>
    <t>0.1</t>
  </si>
  <si>
    <t>0.346</t>
  </si>
  <si>
    <t>0.074</t>
  </si>
  <si>
    <t>0.0011</t>
  </si>
  <si>
    <t>0.05</t>
  </si>
  <si>
    <t>0.67</t>
  </si>
  <si>
    <t>Total skeleton, Density used is 1.3 (kg/L)</t>
  </si>
  <si>
    <t>Brain</t>
  </si>
  <si>
    <t>1.45</t>
  </si>
  <si>
    <t>0.162</t>
  </si>
  <si>
    <t>0.62</t>
  </si>
  <si>
    <t>0.051</t>
  </si>
  <si>
    <t>0.0565</t>
  </si>
  <si>
    <t>0.048</t>
  </si>
  <si>
    <t>0.041</t>
  </si>
  <si>
    <t>Gut</t>
  </si>
  <si>
    <t>1.02</t>
  </si>
  <si>
    <t>0.282</t>
  </si>
  <si>
    <t>0.475</t>
  </si>
  <si>
    <t>0.0487</t>
  </si>
  <si>
    <t>0.0163</t>
  </si>
  <si>
    <t>0.158</t>
  </si>
  <si>
    <t>0.0141</t>
  </si>
  <si>
    <t>2.41</t>
  </si>
  <si>
    <t>Small intestine, Right/left colon, rectosigmoid</t>
  </si>
  <si>
    <t>KidneyRight</t>
  </si>
  <si>
    <t>0.155</t>
  </si>
  <si>
    <t>0.273</t>
  </si>
  <si>
    <t>0.483</t>
  </si>
  <si>
    <t>0.0207</t>
  </si>
  <si>
    <t>0.0162</t>
  </si>
  <si>
    <t>0.13</t>
  </si>
  <si>
    <t>0.137</t>
  </si>
  <si>
    <t>5.03</t>
  </si>
  <si>
    <t>One half Kidneys</t>
  </si>
  <si>
    <t>KidneyLeft</t>
  </si>
  <si>
    <t>Liver</t>
  </si>
  <si>
    <t>1.8</t>
  </si>
  <si>
    <t>0.161</t>
  </si>
  <si>
    <t>0.573</t>
  </si>
  <si>
    <t>0.0348</t>
  </si>
  <si>
    <t>0.0252</t>
  </si>
  <si>
    <t>0.086</t>
  </si>
  <si>
    <t>4.56</t>
  </si>
  <si>
    <t>LungRight</t>
  </si>
  <si>
    <t>0.25</t>
  </si>
  <si>
    <t>0.336</t>
  </si>
  <si>
    <t>0.446</t>
  </si>
  <si>
    <t>0.003</t>
  </si>
  <si>
    <t>0.009</t>
  </si>
  <si>
    <t>0.212</t>
  </si>
  <si>
    <t>.0168</t>
  </si>
  <si>
    <t>3.91</t>
  </si>
  <si>
    <t>One half lungs</t>
  </si>
  <si>
    <t>LungLeft</t>
  </si>
  <si>
    <t>0.168</t>
  </si>
  <si>
    <t>Muscle</t>
  </si>
  <si>
    <t>29</t>
  </si>
  <si>
    <t>0.118</t>
  </si>
  <si>
    <t>0.63</t>
  </si>
  <si>
    <t>0.0238</t>
  </si>
  <si>
    <t>0.0072</t>
  </si>
  <si>
    <t>0.064</t>
  </si>
  <si>
    <t>0.059</t>
  </si>
  <si>
    <t>1.53</t>
  </si>
  <si>
    <t>Mycardium</t>
  </si>
  <si>
    <t>0.33</t>
  </si>
  <si>
    <t>0.32</t>
  </si>
  <si>
    <t>0.456</t>
  </si>
  <si>
    <t>0.0115</t>
  </si>
  <si>
    <t>0.0166</t>
  </si>
  <si>
    <t>0.157</t>
  </si>
  <si>
    <t>0.16</t>
  </si>
  <si>
    <t>2.25</t>
  </si>
  <si>
    <t>Skin</t>
  </si>
  <si>
    <t>3.3</t>
  </si>
  <si>
    <t>0.382</t>
  </si>
  <si>
    <t>0.291</t>
  </si>
  <si>
    <t>0.0284</t>
  </si>
  <si>
    <t>0.0111</t>
  </si>
  <si>
    <t>0.277</t>
  </si>
  <si>
    <t>0.096</t>
  </si>
  <si>
    <t>1.32</t>
  </si>
  <si>
    <t>Spleen</t>
  </si>
  <si>
    <t>0.15</t>
  </si>
  <si>
    <t>0.207</t>
  </si>
  <si>
    <t>0.579</t>
  </si>
  <si>
    <t>0.0201</t>
  </si>
  <si>
    <t>0.0198</t>
  </si>
  <si>
    <t>3.18</t>
  </si>
  <si>
    <t>F</t>
  </si>
  <si>
    <t>19.0</t>
  </si>
  <si>
    <t>20.65</t>
  </si>
  <si>
    <t>Fractions should be same for females and males (they are from rat data anyway)</t>
  </si>
  <si>
    <t>7.8</t>
  </si>
  <si>
    <t>6.0</t>
  </si>
  <si>
    <t>1.3</t>
  </si>
  <si>
    <t>0.96</t>
  </si>
  <si>
    <t>0.1375</t>
  </si>
  <si>
    <t>1.4</t>
  </si>
  <si>
    <t>0.210</t>
  </si>
  <si>
    <t>17.5</t>
  </si>
  <si>
    <t>2.3</t>
  </si>
  <si>
    <t>15</t>
  </si>
  <si>
    <t>Not currently supporting peds, but we could fill the rest in from ICRP</t>
  </si>
  <si>
    <t>10</t>
  </si>
  <si>
    <t>5</t>
  </si>
  <si>
    <t>MaximumDiffusionFlux</t>
  </si>
  <si>
    <t>MichaelisCoefficient</t>
  </si>
  <si>
    <t>1 g/cm^2 s</t>
  </si>
  <si>
    <t>Chloride</t>
  </si>
  <si>
    <t>Potassium</t>
  </si>
  <si>
    <t>35.45 g/mol</t>
  </si>
  <si>
    <t>31.1 g/mol</t>
  </si>
  <si>
    <t>SystolicArterialPressureBaseline</t>
  </si>
  <si>
    <t>DiastolicArterialPressureBaseline</t>
  </si>
  <si>
    <t>114 mmHg</t>
  </si>
  <si>
    <t>73.5 mmHg</t>
  </si>
  <si>
    <t>BasalMetabolicRate</t>
  </si>
  <si>
    <t>FunctionalResidualCapacity</t>
  </si>
  <si>
    <t>HeartRateMaximum</t>
  </si>
  <si>
    <t>HeartRateMinimum</t>
  </si>
  <si>
    <t>ResidualVolume</t>
  </si>
  <si>
    <t>SkinSurfaceArea</t>
  </si>
  <si>
    <t>TotalLungCapacity</t>
  </si>
  <si>
    <t>Required</t>
  </si>
  <si>
    <t>DefaultMale</t>
  </si>
  <si>
    <t>DefaultFemale</t>
  </si>
  <si>
    <t>StandardFemale</t>
  </si>
  <si>
    <t>18 yr</t>
  </si>
  <si>
    <t>90 mmHg</t>
  </si>
  <si>
    <t>60 mmHg</t>
  </si>
  <si>
    <t>120 mmHg</t>
  </si>
  <si>
    <t>80 mmHg</t>
  </si>
  <si>
    <t>100 bpm</t>
  </si>
  <si>
    <t>115 lb</t>
  </si>
  <si>
    <t>215 lb</t>
  </si>
  <si>
    <t>ExtremeFemale</t>
  </si>
  <si>
    <t>ExtremeMale</t>
  </si>
  <si>
    <t>60 bpm</t>
  </si>
  <si>
    <t>65 yr</t>
  </si>
  <si>
    <t>4.5 ft</t>
  </si>
  <si>
    <t>7 ft</t>
  </si>
  <si>
    <t>Respiratory Validation</t>
  </si>
  <si>
    <t>Combined and Showcase</t>
  </si>
  <si>
    <t>Extremes</t>
  </si>
  <si>
    <t>Base Validation</t>
  </si>
  <si>
    <t>AlveoliSurfaceArea</t>
  </si>
  <si>
    <t>StandardMale</t>
  </si>
  <si>
    <t>LeftAfferentArterioleResistance</t>
  </si>
  <si>
    <t>RightAfferentArterioleResistance</t>
  </si>
  <si>
    <t>1000 s</t>
  </si>
  <si>
    <t>BloodVolumeBaseline</t>
  </si>
  <si>
    <t>Physical Characteristics</t>
  </si>
  <si>
    <t>Systemic Targets To Tune Engine To</t>
  </si>
  <si>
    <t xml:space="preserve">Overridable System Bounds </t>
  </si>
  <si>
    <t>Overridable Physical Characteristics 
(But one should change these via Conditions)</t>
  </si>
  <si>
    <t>MyocardiumTissue Pharmacokinetics</t>
  </si>
  <si>
    <t>FatTissue Pharmacokinetics</t>
  </si>
  <si>
    <t>BrainTissue Pharmacokinetics</t>
  </si>
  <si>
    <t>MuscleTissue Pharmacokinetics</t>
  </si>
  <si>
    <t>SkinTissue Pharmacokinetics</t>
  </si>
  <si>
    <t>BoneTissue Pharmacokinetics</t>
  </si>
  <si>
    <t>GutTissue Pharmacokinetics</t>
  </si>
  <si>
    <t>SpleenTissue Pharmacokinetics</t>
  </si>
  <si>
    <t>LiverTissue Pharmacokinetics</t>
  </si>
  <si>
    <t>RightKidneyTissue Pharmacokinetics</t>
  </si>
  <si>
    <t>RightLungTissue Pharmacokinetics</t>
  </si>
  <si>
    <t>LeftKidneyTissue Pharmacokinetics</t>
  </si>
  <si>
    <t>LeftLungTissue Pharmacokinetics</t>
  </si>
  <si>
    <t>Overweight</t>
  </si>
  <si>
    <t>Underweight</t>
  </si>
  <si>
    <t>Tachycardic</t>
  </si>
  <si>
    <t>Bradycardic</t>
  </si>
  <si>
    <t>50 bpm</t>
  </si>
  <si>
    <t>110 bpm</t>
  </si>
  <si>
    <t>17.8 mL/min kg</t>
  </si>
  <si>
    <t>0.46 1/atm</t>
  </si>
  <si>
    <t>0.2 mL/min kg</t>
  </si>
  <si>
    <t>1.0 mL/min kg</t>
  </si>
  <si>
    <t>ParticulateSizeDistribution</t>
  </si>
  <si>
    <t>[0.015,0.035,0.9,0.035,0.015,0]
[1.0e-4,1.0e-3,1.0e-2,1.0e-1,1.0,1.0e1,1.0e2] [,um]</t>
  </si>
  <si>
    <t>CarbonMonoxide</t>
  </si>
  <si>
    <t>28.01 g/mol</t>
  </si>
  <si>
    <t>Solid</t>
  </si>
  <si>
    <t>AmbientGas</t>
  </si>
  <si>
    <t>AmbientGasData</t>
  </si>
  <si>
    <t>CheyenneMountainFireFighter</t>
  </si>
  <si>
    <t>AmbientAerosolData</t>
  </si>
  <si>
    <t>AmbientAerosol</t>
  </si>
  <si>
    <t>TubularPermeabilityModifier</t>
  </si>
  <si>
    <t>Globulin</t>
  </si>
  <si>
    <t>PupilSizeModifier</t>
  </si>
  <si>
    <t>PupilReactivityModifier</t>
  </si>
  <si>
    <t>EMaxShapeParameter</t>
  </si>
  <si>
    <t>Table on p779 shows bronchi dilate when sympathetically stimulated; baldwin1994comparison shows epi has similar effects to albuterol when inhaled; chose .3 for moderate dilation when in plasma</t>
  </si>
  <si>
    <t>https://www-ncbi-nlm-nih-gov.prox.lib.ncsu.edu/pmc/articles/PMC1357052/pdf/jphysiol01306-0176.pdf; https://www-ncbi-nlm-nih-gov.prox.lib.ncsu.edu/pmc/articles/PMC2466988/pdf/postmedj00350-0007.pdf</t>
  </si>
  <si>
    <t>Assigned modifiers somewhat loosely based on these limited sources</t>
  </si>
  <si>
    <t>https://www.ncbi.nlm.nih.gov/pubmed/15281513</t>
  </si>
  <si>
    <t>http://journals.lww.com/ejanaesthesiology/Citation/2005/05001/Pupil_dilation_response_to_noxious_stimulation.694.aspx</t>
  </si>
  <si>
    <t>Not very detailed info</t>
  </si>
  <si>
    <t>http://europepmc.org/abstract/med/8267194</t>
  </si>
  <si>
    <t>Often used to reverse opioid effects, and since opioids affect pupil diameter, it's hard to distinguish naloxone effects</t>
  </si>
  <si>
    <t>https://www.ncbi.nlm.nih.gov/pubmed/21220175</t>
  </si>
  <si>
    <t>guyton2006medical; https://www.ncbi.nlm.nih.gov/pubmed/9715439</t>
  </si>
  <si>
    <t>https://www.ncbi.nlm.nih.gov/pubmed/8484510</t>
  </si>
  <si>
    <t>https://www.ncbi.nlm.nih.gov/pubmed/19910265</t>
  </si>
  <si>
    <t>https://www.ncbi.nlm.nih.gov/pubmed/2875674; http://anesthesiology.pubs.asahq.org/article.aspx?articleid=1936490</t>
  </si>
  <si>
    <t>http://europepmc.org/backend/ptpmcrender.fcgi?accid=PMC2399205&amp;blobtype=pdf</t>
  </si>
  <si>
    <t>This source is a case study, so may not be representative of normal patients</t>
  </si>
  <si>
    <t>0.0009 ug/mL</t>
  </si>
  <si>
    <t>InflammationCoefficient</t>
  </si>
  <si>
    <t>1165 g/m^3</t>
  </si>
  <si>
    <t>0.018 1/atm</t>
  </si>
  <si>
    <t>NTP</t>
  </si>
  <si>
    <t>bruce2003multicompartment</t>
  </si>
  <si>
    <t>power1968solubility says .019</t>
  </si>
  <si>
    <t>.018 1/atm</t>
  </si>
  <si>
    <t>68.66 mL/min kg</t>
  </si>
  <si>
    <t xml:space="preserve">Carboxyhemoglobin </t>
  </si>
  <si>
    <t>64570.04 g/mol</t>
  </si>
  <si>
    <t>ForestFireParticulate</t>
  </si>
  <si>
    <t>2.9 mg/m^3</t>
  </si>
  <si>
    <t>25 C</t>
  </si>
  <si>
    <t>BronchioleModifier</t>
  </si>
  <si>
    <t>CarbonMonoxideAtmospheric</t>
  </si>
  <si>
    <t>[0.15003,0.18454,0.16846,0.14005,0.11013,0.08322,0.06096,0.04351,0.03038,0.02079,0.00713,0.00074,0.00006,0]
[0,1,2,3,4,5,6,7,8,9,10,15,20,25,30] [,um]</t>
  </si>
  <si>
    <t>168.038 g/mol</t>
  </si>
  <si>
    <t>Lead</t>
  </si>
  <si>
    <t>ElectricPotential</t>
  </si>
  <si>
    <t>-0.039,-0.032,-0.026,-0.021,-0.01,-0.001,0,0.006,0.009,-0.002,-0.004,0.006,0.006,0.01,0.022,0.043,0.052,0.054,0.062,0.071,0.068,0.061,0.057,0.061,0.06,0.046,0.042,0.035,0.017,0.004,-0.001,-0.009,-0.01,-0.012,-0.024,-0.031,-0.038,-0.048,-0.049,-0.051,-0.049,-0.048,-0.057,-0.062,-0.06,-0.059,-0.06,-0.065,-0.067,-0.067,-0.076,-0.089,-0.085,-0.074,-0.072,-0.073,-0.074,-0.077,-0.078,-0.079,-0.083,-0.084,-0.074,-0.078,-0.09,-0.083,-0.083,-0.084,-0.074,-0.073,-0.076,-0.077,-0.078,-0.065,-0.04,-0.01,0.033,0.081,0.12,0.157,0.193,0.243,0.319,0.396,0.461,0.513,0.568,0.629,0.658,0.668,0.623,0.453,0.232,0.106,0.063,0.017,-0.006,-0.011,-0.042,-0.077,-0.089,-0.087,-0.077,-0.066,-0.059,-0.052,-0.044,-0.039,-0.043,-0.038,-0.028,-0.028,-0.032,-0.032,-0.033,-0.035,-0.038,-0.042,-0.04,-0.035,-0.029,-0.031,-0.038,-0.035,-0.032,-0.037,-0.037,-0.034,-0.033,-0.033,-0.035,-0.029,-0.026,-0.029,-0.026,-0.023,-0.024,-0.021,-0.022,-0.018,-0.015,-0.016,-0.018,-0.024,-0.023,-0.021,-0.02,-0.011,-0.007,-0.007,-0.006,-0.002,0.002,0.001,0.002,0.006,0.004,0.001,0.007,0.013,0.017,0.018,0.022,0.022,0.02,0.023,0.022,0.021,0.031,0.034,0.033,0.037,0.04,0.045,0.044,0.042,0.049,0.055,0.06,0.066,0.068,0.071,0.073,0.074,0.083,0.087,0.085,0.093,0.093,0.098,0.114,0.115,0.117,0.125,0.126,0.128,0.133,0.142,0.145,0.145,0.153,0.161,0.161,0.161,0.17,0.173,0.176,0.181,0.183,0.19,0.194,0.195,0.2,0.203,0.205,0.204,0.206,0.206,0.201,0.204,0.209,0.21,0.214,0.212,0.2,0.2,0.205,0.206,0.209,0.204,0.198,0.193,0.178,0.17,0.167,0.162,0.157,0.147,0.139,0.131,0.111,0.1,0.093,0.081,0.077,0.071,0.062,0.061,0.05,0.039,0.032,0.018,0.012,0.007,-0.005,-0.007,-0.006,-0.013,-0.018,-0.02,-0.026,-0.028,-0.027,-0.034,-0.038,-0.039,-0.035,-0.033,-0.037,-0.042,-0.045,-0.045,-0.04,-0.043,-0.046,-0.037,-0.035,-0.039,-0.035,-0.037,-0.037,-0.035,-0.039 mV</t>
  </si>
  <si>
    <t>ECG consists of a Lead 3 Normal Sinus waveform retrieved from Physionet @cite goldberger2000physiobank.
 Specifically, the waveform used is from the Stress Recognition in Automobile Drivers study done by Healey and Picard, file
 drive04.dat, the ECG output from time 1:58.772 - 1:59.349 @cite healey2005detecting. This data was chosen because of its clear
 display of all features seen in a Normal Sinus rhythm.</t>
  </si>
  <si>
    <t>Description</t>
  </si>
  <si>
    <t>StandardECG</t>
  </si>
  <si>
    <t>Norepinephrine</t>
  </si>
  <si>
    <t>Direct Copy from Epi</t>
  </si>
  <si>
    <t>0.0038 ug/mL</t>
  </si>
  <si>
    <t>0.0329 g/L</t>
  </si>
  <si>
    <t>1.013 g/L</t>
  </si>
  <si>
    <t>christmas2017equations</t>
  </si>
  <si>
    <t>Approximated using the product of Figure 2 solubility values at 37C and density</t>
  </si>
  <si>
    <t>0.0314 g/L</t>
  </si>
  <si>
    <t>0.921 g/L</t>
  </si>
  <si>
    <t>Solubility = 0.023 mL/mL</t>
  </si>
  <si>
    <t>Solubility = 0.022 mL/mL</t>
  </si>
  <si>
    <t>Solubility = 0.55 mL/mL</t>
  </si>
  <si>
    <t>Solubility = 0.5 mL/mL</t>
  </si>
  <si>
    <t>5.513 g/dL</t>
  </si>
  <si>
    <t>16.5 g/dL</t>
  </si>
  <si>
    <t>PackedRBC</t>
  </si>
  <si>
    <t>8 bpm</t>
  </si>
  <si>
    <t>300 ug/mL</t>
  </si>
  <si>
    <t>Sepsis</t>
  </si>
  <si>
    <t>1.083 g/min</t>
  </si>
  <si>
    <t>60.0 mL/min kg</t>
  </si>
  <si>
    <t>LiquidCompartment</t>
  </si>
  <si>
    <t>RightTubules</t>
  </si>
  <si>
    <t>LeftTubules</t>
  </si>
  <si>
    <t>Request Type</t>
  </si>
  <si>
    <t>Physiology</t>
  </si>
  <si>
    <t>Valence</t>
  </si>
  <si>
    <t>Etomidate</t>
  </si>
  <si>
    <t>Vanlersberghe2008Handbook</t>
  </si>
  <si>
    <t>p270</t>
  </si>
  <si>
    <t>9 - 25 ml/min kg</t>
  </si>
  <si>
    <t>Valk2021Etomidate</t>
  </si>
  <si>
    <t>1/2 of total clearance</t>
  </si>
  <si>
    <t>Hebron1983Pharmacokinetics</t>
  </si>
  <si>
    <t>244.29 g/mol</t>
  </si>
  <si>
    <t>https://pubchem.ncbi.nlm.nih.gov/compound/Amidate</t>
  </si>
  <si>
    <t>Forman2011Clinical</t>
  </si>
  <si>
    <t>calla1987comparison</t>
  </si>
  <si>
    <t>11.5 mL/min kg</t>
  </si>
  <si>
    <t>0.01 ug/mL</t>
  </si>
  <si>
    <t>https://go.drugbank.com/drugs/DB00368</t>
  </si>
  <si>
    <t>169.18 g/mol</t>
  </si>
  <si>
    <t>de Vera et al</t>
  </si>
  <si>
    <t>https://drugcentral.org/drugcard/1960</t>
  </si>
  <si>
    <t>55.0 mL/min kg</t>
  </si>
  <si>
    <t>Phenylephrine</t>
  </si>
  <si>
    <t>167.205 g/mol</t>
  </si>
  <si>
    <t>https://go.drugbank.com/drugs/DB00388</t>
  </si>
  <si>
    <t>2100 mL/min</t>
  </si>
  <si>
    <t>unknown</t>
  </si>
  <si>
    <t>no info available so used Epi</t>
  </si>
  <si>
    <t>no info available</t>
  </si>
  <si>
    <t>3800 mL/min kg</t>
  </si>
  <si>
    <t>45 mL/min kg</t>
  </si>
  <si>
    <t>190 mL/min kg</t>
  </si>
  <si>
    <t>0.018 ug/mL</t>
  </si>
  <si>
    <t>Lorazepam</t>
  </si>
  <si>
    <t>https://hmdb.ca/metabolites/HMDB0014332</t>
  </si>
  <si>
    <t>321.16 g/mol</t>
  </si>
  <si>
    <t>2.98, 3.53</t>
  </si>
  <si>
    <t>8-12%</t>
  </si>
  <si>
    <t>Greenblatt1981Clinical</t>
  </si>
  <si>
    <t>Kyriakopoulos1978Clinical</t>
  </si>
  <si>
    <t>Swart2003comparitive</t>
  </si>
  <si>
    <t>taken from midazolam</t>
  </si>
  <si>
    <t>0.05 mL/min kg</t>
  </si>
  <si>
    <t>0.25 mL/min kg</t>
  </si>
  <si>
    <t>0.4558 ug/mL</t>
  </si>
  <si>
    <t>0.0358 ug/mL</t>
  </si>
  <si>
    <t>Overdose</t>
  </si>
  <si>
    <t>321.28 g/mol</t>
  </si>
  <si>
    <t>1.07 mL/min kg</t>
  </si>
  <si>
    <t>0.92 mL/min kg</t>
  </si>
  <si>
    <t>0.0558 ug/mL</t>
  </si>
  <si>
    <t>Oversedation</t>
  </si>
  <si>
    <t>Sinus</t>
  </si>
  <si>
    <t>VentricularFibrillation</t>
  </si>
  <si>
    <t>VentricularTachycardia</t>
  </si>
  <si>
    <t>Type</t>
  </si>
  <si>
    <t>0.146,0.179,0.195,0.163,0.138,0.098,0.147,0.196,0.236,0.285,0.326,0.285,0.253,0.196,0.155,0.115,0.074,0.058,0.05,0.123,0.172,0.229,0.278,0.319,0.343,0.376,0.327,0.278,0.246,0.213,0.181,0.149,0.149,0.141,0.141,0.166,0.214,0.263,0.312,0.345,0.361,0.361,0.362,0.345,0.329,0.321,0.297,0.248,0.216,0.184,0.216,0.249,0.29,0.33,0.379,0.412,0.445,0.445,0.421,0.396,0.372,0.323,0.283,0.242,0.185,0.145,0.104,0.056,0.04,0.04,0.072,0.121,0.154,0.195,0.252,0.3,0.366,0.415,0.463,0.496,0.512,0.488,0.472,0.448,0.44,0.399,0.343,0.294,0.245,0.205,0.164,0.123,0.091,0.075,0.091,0.116,0.14,0.214,0.271,0.32,0.352,0.393,0.393,0.377,0.353,0.328,0.28,0.239,0.199,0.142,0.085,0.061,0.093,0.158,0.215,0.272,0.321,0.37,0.394,0.338,0.289,0.232,0.167,0.118,0.159,0.192,0.24,0.306,0.354,0.387,0.42,0.355,0.29,0.233,0.168,0.095,0.054,0.03,-0.018,-0.034,-0.009,0.014,0.055,0.104,0.145,0.21,0.259,0.34,0.373,0.422,0.438,0.43,0.398,0.374,0.333,0.292,0.252,0.203,0.154,0.106,0.114,0.13,0.179,0.228,0.285,0.326,0.342,0.343,0.335,0.31,0.278,0.246,0.197,0.156,0.108,0.124,0.132,0.181,0.238,0.287,0.312,0.361,0.361,0.385,0.394,0.402,0.378,0.354,0.346,0.297,0.24,0.183,0.135,0.118,0.102,0.103,0.095,0.135,0.2,0.241,0.266,0.299,0.315,0.315,0.324,0.267,0.218,0.161,0.113,0.088,0.113,0.137,0.186,0.235,0.317,0.366,0.439,0.496,0.545,0.586,0.618,0.602,0.586,0.529,0.472,0.432,0.391,0.343,0.286,0.27,0.245,0.221,0.238,0.27,0.303,0.319,0.36,0.401,0.434,0.442,0.442,0.402,0.345,0.288,0.264,0.207,0.199,0.191,0.207,0.175,0.143,0.11,0.143,0.2,0.249,0.265,0.208,0.16,0.111,0.079,0.111,0.16,0.209,0.242,0.291,0.283,0.275,0.25,0.21,0.161,0.12,0.088,0.047,0.072,0.129,0.178,0.243,0.283,0.292,0.251,0.202,0.145,0.097,0.064 mV</t>
  </si>
  <si>
    <t>-0.87037037,-0.87037037,-0.844608964,-0.822655766,-0.82220784,-0.768887363,-0.70764652,-0.614819727,-0.52892371,-0.480148781,-0.431191494,-0.376217822,-0.308852895,-0.117606594,0.011365573,0.346387061,0.420940171,0.482794761,0.515750794,0.578912467,0.689386257,0.746024058,0.805258268,1.002414409,1.104193829,1.24136119,1.301748698,1.366255851,1.396876272,1.400560652,1.403077707,1.405594762,1.407407407,1.407407407,1.407407407,1.404004432,1.394478079,1.384951725,1.372085541,1.354991524,1.337882835,1.320735399,1.291933761,1.203074033,1.156691749,1.110746466,1.035083637,0.987828826,0.94455454,0.89866332,0.858952572,0.829902799,0.744005507,0.691496613,0.574336482,0.534954811,0.506410256,0.477789201,0.445639405,0.40663102,0.322900955,0.217701898,0.094211344,-0.03049728,-0.271880342,-0.563069102,-0.82220784,-0.822655766,-0.844608964,-0.87037037,-0.87037037 mV</t>
  </si>
  <si>
    <t>Acute Respiratory Distress Syndrome</t>
  </si>
  <si>
    <t>Chronic Anemia</t>
  </si>
  <si>
    <t>Chronic Obstructive Pulmonary Disease</t>
  </si>
  <si>
    <t>Chronic Pericardial Effusion</t>
  </si>
  <si>
    <t>Chronic Renal Stenosis</t>
  </si>
  <si>
    <t>Chronic Ventricular Systolic Dysfunction</t>
  </si>
  <si>
    <t>Consume Meal</t>
  </si>
  <si>
    <t>Initial Environmental Conditions</t>
  </si>
  <si>
    <t>Impaired Alveolar Exchange</t>
  </si>
  <si>
    <t>Pulmonary Fibrosis</t>
  </si>
  <si>
    <t>Pulmonary Shunt</t>
  </si>
  <si>
    <t>Pneumonia</t>
  </si>
  <si>
    <t>AdvanceUntilStable</t>
  </si>
  <si>
    <t>Dehydration</t>
  </si>
  <si>
    <t>Sweat</t>
  </si>
  <si>
    <t>1.0 g/L</t>
  </si>
  <si>
    <t>1.5 g/L</t>
  </si>
  <si>
    <t>0.2 g/L</t>
  </si>
  <si>
    <t>0.02 g/L</t>
  </si>
  <si>
    <t>0.01 g/L</t>
  </si>
  <si>
    <t>0.003 g/L</t>
  </si>
  <si>
    <t>Sodium: 0.46-1.84 g/L (most abundant, higher levels with more intense exercise)</t>
  </si>
  <si>
    <t>0.71-2.84 g/L (balances sodium concentration)</t>
  </si>
  <si>
    <t>0.16-0.39 g/L (concentrations decreasing during prolonged exercise)</t>
  </si>
  <si>
    <t>0-0.12 g/L (dropping significantly with increased sweat rate)</t>
  </si>
  <si>
    <t>0-0.02 g/L (increases with exercise intensity and reflects muscle energy metabolism)</t>
  </si>
  <si>
    <t>0.002-0.01 g/L (waste product of protein breakdown, generally higher than in blood plasma)</t>
  </si>
  <si>
    <t>2000 s</t>
  </si>
  <si>
    <t>CSTARS</t>
  </si>
  <si>
    <t>CSTARS-Patient1</t>
  </si>
  <si>
    <t>CSTARS-Patient2</t>
  </si>
  <si>
    <t>CSTARS-Patient3</t>
  </si>
  <si>
    <t>CSTARS-Patient4</t>
  </si>
  <si>
    <t>CSTARS-Patient5</t>
  </si>
  <si>
    <t>CSTARS-Patient6</t>
  </si>
  <si>
    <t>CSTARS-Patient7</t>
  </si>
  <si>
    <t>196 lb</t>
  </si>
  <si>
    <t>54 yr</t>
  </si>
  <si>
    <t>75 in</t>
  </si>
  <si>
    <t>138 lb</t>
  </si>
  <si>
    <t>65 in</t>
  </si>
  <si>
    <t>69 in</t>
  </si>
  <si>
    <t>67 in</t>
  </si>
  <si>
    <t>62 yr</t>
  </si>
  <si>
    <t>202 lb</t>
  </si>
  <si>
    <t>200 lb</t>
  </si>
  <si>
    <t>74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</si>
</sst>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2" fillId="4" borderId="7" applyNumberFormat="0" applyAlignment="0" applyProtection="0"/>
    <xf numFmtId="0" fontId="3" fillId="5" borderId="0" applyNumberFormat="0" applyBorder="0" applyAlignment="0" applyProtection="0"/>
    <xf numFmtId="0" fontId="4" fillId="6" borderId="0" applyNumberFormat="0" applyBorder="0" applyAlignment="0" applyProtection="0"/>
    <xf numFmtId="0" fontId="3" fillId="7" borderId="0" applyNumberFormat="0" applyBorder="0" applyAlignment="0" applyProtection="0"/>
    <xf numFmtId="9" fontId="3" fillId="0" borderId="0" applyFont="0" applyFill="0" applyBorder="0" applyAlignment="0" applyProtection="0"/>
  </cellStyleXfs>
  <cellXfs count="168">
    <xf numFmtId="0" fontId="0" fillId="0" borderId="0" xfId="0"/>
    <xf numFmtId="0" fontId="0" fillId="3" borderId="0" xfId="0" applyFill="1"/>
    <xf numFmtId="0" fontId="0" fillId="3" borderId="2" xfId="0" applyFill="1" applyBorder="1" applyAlignment="1">
      <alignment horizontal="center"/>
    </xf>
    <xf numFmtId="0" fontId="2" fillId="3" borderId="0" xfId="1" applyFill="1" applyBorder="1"/>
    <xf numFmtId="0" fontId="3" fillId="3" borderId="0" xfId="2" applyFill="1"/>
    <xf numFmtId="0" fontId="3" fillId="3" borderId="0" xfId="4" applyFill="1"/>
    <xf numFmtId="0" fontId="4" fillId="3" borderId="0" xfId="3" applyFill="1"/>
    <xf numFmtId="0" fontId="0" fillId="9" borderId="2" xfId="2" applyFont="1" applyFill="1" applyBorder="1"/>
    <xf numFmtId="0" fontId="3" fillId="12" borderId="2" xfId="4" applyFill="1" applyBorder="1"/>
    <xf numFmtId="0" fontId="0" fillId="12" borderId="2" xfId="4" applyFont="1" applyFill="1" applyBorder="1"/>
    <xf numFmtId="0" fontId="4" fillId="11" borderId="2" xfId="3" applyFill="1" applyBorder="1"/>
    <xf numFmtId="0" fontId="0" fillId="9" borderId="2" xfId="2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3" fillId="12" borderId="2" xfId="4" applyFill="1" applyBorder="1" applyAlignment="1">
      <alignment horizontal="center"/>
    </xf>
    <xf numFmtId="0" fontId="0" fillId="12" borderId="2" xfId="4" applyFont="1" applyFill="1" applyBorder="1" applyAlignment="1">
      <alignment horizontal="center"/>
    </xf>
    <xf numFmtId="0" fontId="2" fillId="8" borderId="3" xfId="1" applyFill="1" applyBorder="1"/>
    <xf numFmtId="0" fontId="2" fillId="8" borderId="8" xfId="1" applyFill="1" applyBorder="1" applyAlignment="1"/>
    <xf numFmtId="0" fontId="2" fillId="8" borderId="10" xfId="1" applyFill="1" applyBorder="1" applyAlignment="1"/>
    <xf numFmtId="0" fontId="2" fillId="8" borderId="11" xfId="1" applyFill="1" applyBorder="1" applyAlignment="1"/>
    <xf numFmtId="0" fontId="4" fillId="11" borderId="2" xfId="3" applyFill="1" applyBorder="1" applyAlignment="1">
      <alignment horizontal="center"/>
    </xf>
    <xf numFmtId="0" fontId="0" fillId="3" borderId="3" xfId="2" applyFont="1" applyFill="1" applyBorder="1"/>
    <xf numFmtId="0" fontId="2" fillId="8" borderId="2" xfId="1" applyFill="1" applyBorder="1" applyAlignment="1">
      <alignment horizontal="center"/>
    </xf>
    <xf numFmtId="0" fontId="1" fillId="15" borderId="13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2" fontId="0" fillId="2" borderId="2" xfId="5" applyNumberFormat="1" applyFont="1" applyFill="1" applyBorder="1" applyAlignment="1">
      <alignment horizontal="center"/>
    </xf>
    <xf numFmtId="0" fontId="1" fillId="15" borderId="16" xfId="0" applyFont="1" applyFill="1" applyBorder="1" applyAlignment="1">
      <alignment horizontal="center"/>
    </xf>
    <xf numFmtId="0" fontId="1" fillId="15" borderId="17" xfId="0" applyFont="1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2" borderId="18" xfId="0" applyFill="1" applyBorder="1" applyAlignment="1">
      <alignment horizontal="center"/>
    </xf>
    <xf numFmtId="0" fontId="5" fillId="0" borderId="0" xfId="0" applyFont="1"/>
    <xf numFmtId="0" fontId="5" fillId="16" borderId="5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6" fillId="16" borderId="3" xfId="1" applyFont="1" applyFill="1" applyBorder="1" applyAlignment="1">
      <alignment horizontal="center"/>
    </xf>
    <xf numFmtId="0" fontId="6" fillId="8" borderId="3" xfId="1" applyFont="1" applyFill="1" applyBorder="1" applyAlignment="1">
      <alignment horizontal="center"/>
    </xf>
    <xf numFmtId="0" fontId="6" fillId="16" borderId="9" xfId="1" applyFont="1" applyFill="1" applyBorder="1" applyAlignment="1">
      <alignment horizontal="center"/>
    </xf>
    <xf numFmtId="0" fontId="5" fillId="8" borderId="4" xfId="0" applyFont="1" applyFill="1" applyBorder="1"/>
    <xf numFmtId="0" fontId="5" fillId="3" borderId="3" xfId="2" applyFont="1" applyFill="1" applyBorder="1"/>
    <xf numFmtId="0" fontId="6" fillId="8" borderId="10" xfId="1" applyFont="1" applyFill="1" applyBorder="1" applyAlignment="1"/>
    <xf numFmtId="0" fontId="5" fillId="3" borderId="2" xfId="2" applyFont="1" applyFill="1" applyBorder="1"/>
    <xf numFmtId="0" fontId="6" fillId="8" borderId="8" xfId="1" applyFont="1" applyFill="1" applyBorder="1" applyAlignment="1"/>
    <xf numFmtId="0" fontId="5" fillId="3" borderId="2" xfId="4" applyFont="1" applyFill="1" applyBorder="1"/>
    <xf numFmtId="0" fontId="5" fillId="3" borderId="2" xfId="3" applyFont="1" applyFill="1" applyBorder="1"/>
    <xf numFmtId="0" fontId="5" fillId="3" borderId="0" xfId="0" applyFont="1" applyFill="1"/>
    <xf numFmtId="0" fontId="5" fillId="11" borderId="1" xfId="0" applyFont="1" applyFill="1" applyBorder="1" applyAlignment="1">
      <alignment horizontal="center"/>
    </xf>
    <xf numFmtId="0" fontId="5" fillId="11" borderId="1" xfId="0" applyFont="1" applyFill="1" applyBorder="1"/>
    <xf numFmtId="0" fontId="6" fillId="8" borderId="12" xfId="1" applyFont="1" applyFill="1" applyBorder="1" applyAlignment="1">
      <alignment horizontal="center"/>
    </xf>
    <xf numFmtId="0" fontId="6" fillId="11" borderId="9" xfId="1" applyFont="1" applyFill="1" applyBorder="1" applyAlignment="1"/>
    <xf numFmtId="0" fontId="5" fillId="18" borderId="2" xfId="3" applyFont="1" applyFill="1" applyBorder="1"/>
    <xf numFmtId="0" fontId="0" fillId="3" borderId="3" xfId="2" applyFont="1" applyFill="1" applyBorder="1" applyAlignment="1">
      <alignment horizontal="center"/>
    </xf>
    <xf numFmtId="0" fontId="2" fillId="8" borderId="3" xfId="1" applyFill="1" applyBorder="1" applyAlignment="1">
      <alignment horizontal="center"/>
    </xf>
    <xf numFmtId="0" fontId="2" fillId="8" borderId="9" xfId="1" applyFill="1" applyBorder="1" applyAlignment="1">
      <alignment horizontal="center"/>
    </xf>
    <xf numFmtId="49" fontId="0" fillId="12" borderId="2" xfId="4" applyNumberFormat="1" applyFont="1" applyFill="1" applyBorder="1" applyAlignment="1">
      <alignment horizontal="center"/>
    </xf>
    <xf numFmtId="0" fontId="6" fillId="8" borderId="2" xfId="1" applyFont="1" applyFill="1" applyBorder="1" applyAlignment="1"/>
    <xf numFmtId="0" fontId="6" fillId="19" borderId="2" xfId="1" applyFont="1" applyFill="1" applyBorder="1" applyAlignment="1">
      <alignment horizontal="center"/>
    </xf>
    <xf numFmtId="0" fontId="5" fillId="20" borderId="2" xfId="2" applyFont="1" applyFill="1" applyBorder="1"/>
    <xf numFmtId="9" fontId="5" fillId="17" borderId="2" xfId="2" applyNumberFormat="1" applyFont="1" applyFill="1" applyBorder="1" applyAlignment="1">
      <alignment horizontal="center"/>
    </xf>
    <xf numFmtId="0" fontId="5" fillId="10" borderId="19" xfId="0" applyFont="1" applyFill="1" applyBorder="1" applyAlignment="1">
      <alignment horizontal="center"/>
    </xf>
    <xf numFmtId="0" fontId="6" fillId="10" borderId="15" xfId="1" applyFont="1" applyFill="1" applyBorder="1" applyAlignment="1">
      <alignment horizontal="center"/>
    </xf>
    <xf numFmtId="0" fontId="5" fillId="17" borderId="2" xfId="2" applyFont="1" applyFill="1" applyBorder="1" applyAlignment="1">
      <alignment horizontal="center" wrapText="1"/>
    </xf>
    <xf numFmtId="0" fontId="5" fillId="17" borderId="2" xfId="4" applyFont="1" applyFill="1" applyBorder="1" applyAlignment="1">
      <alignment horizontal="center" wrapText="1"/>
    </xf>
    <xf numFmtId="164" fontId="5" fillId="17" borderId="2" xfId="2" applyNumberFormat="1" applyFont="1" applyFill="1" applyBorder="1" applyAlignment="1">
      <alignment horizontal="center"/>
    </xf>
    <xf numFmtId="0" fontId="5" fillId="17" borderId="2" xfId="2" quotePrefix="1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6" fillId="10" borderId="9" xfId="1" applyFont="1" applyFill="1" applyBorder="1" applyAlignment="1">
      <alignment horizontal="center"/>
    </xf>
    <xf numFmtId="0" fontId="5" fillId="17" borderId="2" xfId="2" applyFont="1" applyFill="1" applyBorder="1" applyAlignment="1">
      <alignment horizontal="center"/>
    </xf>
    <xf numFmtId="0" fontId="5" fillId="17" borderId="2" xfId="4" applyFont="1" applyFill="1" applyBorder="1" applyAlignment="1">
      <alignment horizontal="center"/>
    </xf>
    <xf numFmtId="0" fontId="5" fillId="17" borderId="2" xfId="3" applyFont="1" applyFill="1" applyBorder="1" applyAlignment="1">
      <alignment horizontal="center"/>
    </xf>
    <xf numFmtId="0" fontId="6" fillId="10" borderId="3" xfId="1" applyFont="1" applyFill="1" applyBorder="1" applyAlignment="1">
      <alignment horizontal="center"/>
    </xf>
    <xf numFmtId="0" fontId="4" fillId="10" borderId="2" xfId="1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3" fillId="3" borderId="3" xfId="2" applyFill="1" applyBorder="1" applyAlignment="1">
      <alignment horizontal="center"/>
    </xf>
    <xf numFmtId="0" fontId="4" fillId="16" borderId="5" xfId="0" applyFont="1" applyFill="1" applyBorder="1" applyAlignment="1">
      <alignment horizontal="center"/>
    </xf>
    <xf numFmtId="0" fontId="5" fillId="3" borderId="3" xfId="2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9" borderId="2" xfId="2" applyFont="1" applyFill="1" applyBorder="1" applyAlignment="1">
      <alignment horizontal="center"/>
    </xf>
    <xf numFmtId="0" fontId="5" fillId="9" borderId="2" xfId="3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9" borderId="11" xfId="2" applyFont="1" applyFill="1" applyBorder="1" applyAlignment="1">
      <alignment horizontal="center"/>
    </xf>
    <xf numFmtId="0" fontId="4" fillId="16" borderId="9" xfId="1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5" fillId="8" borderId="12" xfId="1" applyFont="1" applyFill="1" applyBorder="1" applyAlignment="1">
      <alignment horizontal="center"/>
    </xf>
    <xf numFmtId="0" fontId="4" fillId="11" borderId="9" xfId="1" applyFont="1" applyFill="1" applyBorder="1" applyAlignment="1">
      <alignment horizontal="center"/>
    </xf>
    <xf numFmtId="0" fontId="5" fillId="18" borderId="2" xfId="2" applyFont="1" applyFill="1" applyBorder="1" applyAlignment="1">
      <alignment horizontal="center"/>
    </xf>
    <xf numFmtId="0" fontId="6" fillId="11" borderId="9" xfId="1" applyFont="1" applyFill="1" applyBorder="1" applyAlignment="1">
      <alignment horizontal="center"/>
    </xf>
    <xf numFmtId="0" fontId="5" fillId="18" borderId="2" xfId="3" applyFont="1" applyFill="1" applyBorder="1" applyAlignment="1">
      <alignment horizontal="center"/>
    </xf>
    <xf numFmtId="0" fontId="5" fillId="9" borderId="2" xfId="4" applyFont="1" applyFill="1" applyBorder="1" applyAlignment="1">
      <alignment horizontal="center"/>
    </xf>
    <xf numFmtId="0" fontId="5" fillId="18" borderId="2" xfId="4" applyFont="1" applyFill="1" applyBorder="1" applyAlignment="1">
      <alignment horizontal="center"/>
    </xf>
    <xf numFmtId="49" fontId="0" fillId="21" borderId="2" xfId="0" applyNumberFormat="1" applyFill="1" applyBorder="1"/>
    <xf numFmtId="49" fontId="0" fillId="21" borderId="2" xfId="0" applyNumberFormat="1" applyFill="1" applyBorder="1" applyAlignment="1">
      <alignment horizontal="left" vertical="center"/>
    </xf>
    <xf numFmtId="49" fontId="0" fillId="21" borderId="2" xfId="0" applyNumberFormat="1" applyFill="1" applyBorder="1" applyAlignment="1">
      <alignment horizontal="center" vertical="center"/>
    </xf>
    <xf numFmtId="49" fontId="0" fillId="21" borderId="2" xfId="0" applyNumberFormat="1" applyFill="1" applyBorder="1" applyAlignment="1">
      <alignment horizontal="center"/>
    </xf>
    <xf numFmtId="49" fontId="0" fillId="0" borderId="0" xfId="0" applyNumberFormat="1"/>
    <xf numFmtId="49" fontId="0" fillId="0" borderId="2" xfId="0" applyNumberFormat="1" applyBorder="1"/>
    <xf numFmtId="49" fontId="0" fillId="0" borderId="2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left"/>
    </xf>
    <xf numFmtId="49" fontId="0" fillId="17" borderId="2" xfId="0" applyNumberFormat="1" applyFill="1" applyBorder="1"/>
    <xf numFmtId="49" fontId="0" fillId="17" borderId="2" xfId="0" applyNumberFormat="1" applyFill="1" applyBorder="1" applyAlignment="1">
      <alignment horizontal="left" vertical="center"/>
    </xf>
    <xf numFmtId="49" fontId="0" fillId="17" borderId="2" xfId="0" applyNumberFormat="1" applyFill="1" applyBorder="1" applyAlignment="1">
      <alignment horizontal="center"/>
    </xf>
    <xf numFmtId="49" fontId="0" fillId="17" borderId="2" xfId="0" applyNumberFormat="1" applyFill="1" applyBorder="1" applyAlignment="1">
      <alignment horizontal="center" vertical="center"/>
    </xf>
    <xf numFmtId="49" fontId="0" fillId="17" borderId="2" xfId="0" applyNumberFormat="1" applyFill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0" fontId="2" fillId="8" borderId="10" xfId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9" borderId="2" xfId="2" applyFont="1" applyFill="1" applyBorder="1" applyAlignment="1">
      <alignment horizontal="center" vertical="center"/>
    </xf>
    <xf numFmtId="0" fontId="0" fillId="12" borderId="2" xfId="4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8" borderId="11" xfId="1" applyFill="1" applyBorder="1" applyAlignment="1">
      <alignment horizontal="center" vertical="center"/>
    </xf>
    <xf numFmtId="0" fontId="0" fillId="9" borderId="10" xfId="2" applyFont="1" applyFill="1" applyBorder="1" applyAlignment="1">
      <alignment vertical="center"/>
    </xf>
    <xf numFmtId="0" fontId="0" fillId="12" borderId="10" xfId="4" applyFont="1" applyFill="1" applyBorder="1" applyAlignment="1">
      <alignment vertical="center"/>
    </xf>
    <xf numFmtId="0" fontId="0" fillId="3" borderId="2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" fillId="8" borderId="23" xfId="1" applyFill="1" applyBorder="1" applyAlignment="1">
      <alignment horizontal="center" vertical="center"/>
    </xf>
    <xf numFmtId="0" fontId="2" fillId="8" borderId="25" xfId="1" applyFill="1" applyBorder="1" applyAlignment="1">
      <alignment horizontal="center" vertical="center"/>
    </xf>
    <xf numFmtId="0" fontId="0" fillId="9" borderId="23" xfId="2" applyFont="1" applyFill="1" applyBorder="1" applyAlignment="1">
      <alignment horizontal="center" vertical="center"/>
    </xf>
    <xf numFmtId="0" fontId="0" fillId="9" borderId="24" xfId="2" applyFont="1" applyFill="1" applyBorder="1" applyAlignment="1">
      <alignment horizontal="center" vertical="center"/>
    </xf>
    <xf numFmtId="0" fontId="0" fillId="12" borderId="23" xfId="4" applyFont="1" applyFill="1" applyBorder="1" applyAlignment="1">
      <alignment horizontal="center" vertical="center"/>
    </xf>
    <xf numFmtId="0" fontId="0" fillId="12" borderId="24" xfId="4" applyFont="1" applyFill="1" applyBorder="1" applyAlignment="1">
      <alignment horizontal="center" vertical="center"/>
    </xf>
    <xf numFmtId="0" fontId="2" fillId="8" borderId="10" xfId="1" applyFill="1" applyBorder="1" applyAlignment="1">
      <alignment vertical="center" wrapText="1"/>
    </xf>
    <xf numFmtId="0" fontId="5" fillId="18" borderId="9" xfId="4" applyFont="1" applyFill="1" applyBorder="1" applyAlignment="1">
      <alignment horizontal="center"/>
    </xf>
    <xf numFmtId="0" fontId="5" fillId="22" borderId="1" xfId="0" applyFont="1" applyFill="1" applyBorder="1" applyAlignment="1">
      <alignment horizontal="center"/>
    </xf>
    <xf numFmtId="0" fontId="4" fillId="22" borderId="1" xfId="0" applyFont="1" applyFill="1" applyBorder="1" applyAlignment="1">
      <alignment horizontal="center"/>
    </xf>
    <xf numFmtId="0" fontId="5" fillId="23" borderId="2" xfId="2" applyFont="1" applyFill="1" applyBorder="1" applyAlignment="1">
      <alignment horizontal="center"/>
    </xf>
    <xf numFmtId="0" fontId="5" fillId="23" borderId="2" xfId="4" applyFont="1" applyFill="1" applyBorder="1" applyAlignment="1">
      <alignment horizontal="center"/>
    </xf>
    <xf numFmtId="0" fontId="5" fillId="23" borderId="9" xfId="4" applyFont="1" applyFill="1" applyBorder="1" applyAlignment="1">
      <alignment horizontal="center"/>
    </xf>
    <xf numFmtId="0" fontId="5" fillId="23" borderId="2" xfId="3" applyFont="1" applyFill="1" applyBorder="1" applyAlignment="1">
      <alignment horizontal="center"/>
    </xf>
    <xf numFmtId="0" fontId="5" fillId="23" borderId="2" xfId="4" applyFont="1" applyFill="1" applyBorder="1" applyAlignment="1">
      <alignment horizontal="center" wrapText="1"/>
    </xf>
    <xf numFmtId="0" fontId="5" fillId="11" borderId="9" xfId="1" applyFont="1" applyFill="1" applyBorder="1" applyAlignment="1"/>
    <xf numFmtId="0" fontId="5" fillId="23" borderId="9" xfId="2" applyFont="1" applyFill="1" applyBorder="1" applyAlignment="1">
      <alignment horizontal="center"/>
    </xf>
    <xf numFmtId="0" fontId="5" fillId="18" borderId="2" xfId="4" applyFont="1" applyFill="1" applyBorder="1" applyAlignment="1">
      <alignment horizontal="center" wrapText="1"/>
    </xf>
    <xf numFmtId="0" fontId="0" fillId="14" borderId="2" xfId="0" applyFill="1" applyBorder="1" applyAlignment="1">
      <alignment horizontal="center" vertical="center"/>
    </xf>
    <xf numFmtId="49" fontId="0" fillId="14" borderId="2" xfId="0" applyNumberFormat="1" applyFill="1" applyBorder="1" applyAlignment="1">
      <alignment horizontal="center" wrapText="1"/>
    </xf>
    <xf numFmtId="0" fontId="0" fillId="2" borderId="3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" xfId="0" applyFill="1" applyBorder="1" applyAlignment="1">
      <alignment horizontal="center" wrapText="1"/>
    </xf>
    <xf numFmtId="0" fontId="0" fillId="2" borderId="3" xfId="0" applyFill="1" applyBorder="1" applyAlignment="1">
      <alignment horizontal="center" vertical="center"/>
    </xf>
    <xf numFmtId="0" fontId="0" fillId="9" borderId="2" xfId="2" applyFont="1" applyFill="1" applyBorder="1" applyAlignment="1">
      <alignment horizontal="center" wrapText="1"/>
    </xf>
    <xf numFmtId="0" fontId="2" fillId="8" borderId="3" xfId="1" applyFill="1" applyBorder="1" applyAlignment="1">
      <alignment horizontal="center" wrapText="1"/>
    </xf>
    <xf numFmtId="0" fontId="0" fillId="3" borderId="3" xfId="2" applyFont="1" applyFill="1" applyBorder="1" applyAlignment="1">
      <alignment horizontal="center" wrapText="1"/>
    </xf>
    <xf numFmtId="0" fontId="0" fillId="3" borderId="0" xfId="0" applyFill="1" applyAlignment="1">
      <alignment wrapText="1"/>
    </xf>
    <xf numFmtId="0" fontId="2" fillId="8" borderId="20" xfId="1" applyFill="1" applyBorder="1" applyAlignment="1">
      <alignment horizontal="center" vertical="center"/>
    </xf>
    <xf numFmtId="0" fontId="2" fillId="8" borderId="21" xfId="1" applyFill="1" applyBorder="1" applyAlignment="1">
      <alignment horizontal="center" vertical="center"/>
    </xf>
    <xf numFmtId="0" fontId="2" fillId="8" borderId="22" xfId="1" applyFill="1" applyBorder="1" applyAlignment="1">
      <alignment horizontal="center" vertical="center"/>
    </xf>
    <xf numFmtId="0" fontId="0" fillId="14" borderId="26" xfId="0" applyFill="1" applyBorder="1" applyAlignment="1">
      <alignment horizontal="center"/>
    </xf>
    <xf numFmtId="0" fontId="0" fillId="14" borderId="27" xfId="0" applyFill="1" applyBorder="1" applyAlignment="1">
      <alignment horizontal="center"/>
    </xf>
    <xf numFmtId="0" fontId="0" fillId="14" borderId="28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2" xfId="0" applyFill="1" applyBorder="1" applyAlignment="1">
      <alignment horizontal="center"/>
    </xf>
  </cellXfs>
  <cellStyles count="6">
    <cellStyle name="40% - Accent1" xfId="2" builtinId="31"/>
    <cellStyle name="40% - Accent5" xfId="4" builtinId="47"/>
    <cellStyle name="Accent4" xfId="3" builtinId="41"/>
    <cellStyle name="Check Cell" xfId="1" builtinId="23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"/>
  <sheetViews>
    <sheetView tabSelected="1" zoomScaleNormal="100" workbookViewId="0">
      <pane xSplit="1" ySplit="2" topLeftCell="R3" activePane="bottomRight" state="frozen"/>
      <selection pane="topRight" activeCell="B1" sqref="B1"/>
      <selection pane="bottomLeft" activeCell="A3" sqref="A3"/>
      <selection pane="bottomRight" activeCell="X13" sqref="X13"/>
    </sheetView>
  </sheetViews>
  <sheetFormatPr defaultColWidth="8.85546875" defaultRowHeight="15" x14ac:dyDescent="0.25"/>
  <cols>
    <col min="1" max="1" width="50.5703125" style="117" bestFit="1" customWidth="1"/>
    <col min="2" max="2" width="13.42578125" style="121" bestFit="1" customWidth="1"/>
    <col min="3" max="3" width="15.5703125" style="121" bestFit="1" customWidth="1"/>
    <col min="4" max="4" width="12" style="121" bestFit="1" customWidth="1"/>
    <col min="5" max="5" width="14.28515625" style="121" bestFit="1" customWidth="1"/>
    <col min="6" max="6" width="14.42578125" style="121" bestFit="1" customWidth="1"/>
    <col min="7" max="7" width="13.28515625" style="121" bestFit="1" customWidth="1"/>
    <col min="8" max="8" width="12.42578125" style="121" bestFit="1" customWidth="1"/>
    <col min="9" max="9" width="13.28515625" style="121" bestFit="1" customWidth="1"/>
    <col min="10" max="10" width="10.7109375" style="121" bestFit="1" customWidth="1"/>
    <col min="11" max="11" width="9.140625" style="121" bestFit="1" customWidth="1"/>
    <col min="12" max="12" width="10.140625" style="121" bestFit="1" customWidth="1"/>
    <col min="13" max="13" width="10.7109375" style="121" bestFit="1" customWidth="1"/>
    <col min="14" max="14" width="10.140625" style="121" bestFit="1" customWidth="1"/>
    <col min="15" max="15" width="9.140625" style="121" bestFit="1" customWidth="1"/>
    <col min="16" max="19" width="10.7109375" style="121" bestFit="1" customWidth="1"/>
    <col min="20" max="20" width="15.140625" style="121" bestFit="1" customWidth="1"/>
    <col min="21" max="21" width="12.85546875" style="121" bestFit="1" customWidth="1"/>
    <col min="22" max="28" width="15.85546875" style="121" bestFit="1" customWidth="1"/>
    <col min="29" max="16384" width="8.85546875" style="121"/>
  </cols>
  <sheetData>
    <row r="1" spans="1:28" x14ac:dyDescent="0.25">
      <c r="A1" s="116"/>
      <c r="B1" s="156" t="s">
        <v>583</v>
      </c>
      <c r="C1" s="157"/>
      <c r="D1" s="157"/>
      <c r="E1" s="158"/>
      <c r="F1" s="156" t="s">
        <v>580</v>
      </c>
      <c r="G1" s="157"/>
      <c r="H1" s="157"/>
      <c r="I1" s="158"/>
      <c r="J1" s="156" t="s">
        <v>581</v>
      </c>
      <c r="K1" s="157"/>
      <c r="L1" s="157"/>
      <c r="M1" s="157"/>
      <c r="N1" s="157"/>
      <c r="O1" s="157"/>
      <c r="P1" s="157"/>
      <c r="Q1" s="157"/>
      <c r="R1" s="157"/>
      <c r="S1" s="158"/>
      <c r="T1" s="156" t="s">
        <v>582</v>
      </c>
      <c r="U1" s="158"/>
      <c r="V1" s="156" t="s">
        <v>780</v>
      </c>
      <c r="W1" s="157"/>
      <c r="X1" s="157"/>
      <c r="Y1" s="157"/>
      <c r="Z1" s="157"/>
      <c r="AA1" s="157"/>
      <c r="AB1" s="158"/>
    </row>
    <row r="2" spans="1:28" x14ac:dyDescent="0.25">
      <c r="A2" s="117" t="s">
        <v>0</v>
      </c>
      <c r="B2" s="125" t="s">
        <v>585</v>
      </c>
      <c r="C2" s="118" t="s">
        <v>565</v>
      </c>
      <c r="D2" s="118" t="s">
        <v>563</v>
      </c>
      <c r="E2" s="126" t="s">
        <v>564</v>
      </c>
      <c r="F2" s="125" t="s">
        <v>607</v>
      </c>
      <c r="G2" s="118" t="s">
        <v>608</v>
      </c>
      <c r="H2" s="118" t="s">
        <v>609</v>
      </c>
      <c r="I2" s="126" t="s">
        <v>610</v>
      </c>
      <c r="J2" s="125" t="s">
        <v>25</v>
      </c>
      <c r="K2" s="118" t="s">
        <v>26</v>
      </c>
      <c r="L2" s="118" t="s">
        <v>27</v>
      </c>
      <c r="M2" s="118" t="s">
        <v>28</v>
      </c>
      <c r="N2" s="118" t="s">
        <v>29</v>
      </c>
      <c r="O2" s="118" t="s">
        <v>70</v>
      </c>
      <c r="P2" s="118" t="s">
        <v>68</v>
      </c>
      <c r="Q2" s="118" t="s">
        <v>300</v>
      </c>
      <c r="R2" s="118" t="s">
        <v>303</v>
      </c>
      <c r="S2" s="126" t="s">
        <v>307</v>
      </c>
      <c r="T2" s="125" t="s">
        <v>574</v>
      </c>
      <c r="U2" s="126" t="s">
        <v>575</v>
      </c>
      <c r="V2" s="125" t="s">
        <v>781</v>
      </c>
      <c r="W2" s="125" t="s">
        <v>782</v>
      </c>
      <c r="X2" s="125" t="s">
        <v>783</v>
      </c>
      <c r="Y2" s="125" t="s">
        <v>784</v>
      </c>
      <c r="Z2" s="125" t="s">
        <v>785</v>
      </c>
      <c r="AA2" s="125" t="s">
        <v>786</v>
      </c>
      <c r="AB2" s="125" t="s">
        <v>787</v>
      </c>
    </row>
    <row r="3" spans="1:28" x14ac:dyDescent="0.25">
      <c r="A3" s="116" t="s">
        <v>562</v>
      </c>
      <c r="B3" s="127"/>
      <c r="C3" s="122"/>
      <c r="D3" s="122"/>
      <c r="E3" s="128"/>
      <c r="F3" s="127"/>
      <c r="G3" s="122"/>
      <c r="H3" s="122"/>
      <c r="I3" s="128"/>
      <c r="J3" s="127"/>
      <c r="K3" s="122"/>
      <c r="L3" s="122"/>
      <c r="M3" s="122"/>
      <c r="N3" s="122"/>
      <c r="O3" s="122"/>
      <c r="P3" s="122"/>
      <c r="Q3" s="122"/>
      <c r="R3" s="122"/>
      <c r="S3" s="128"/>
      <c r="T3" s="127"/>
      <c r="U3" s="128"/>
      <c r="V3" s="127"/>
      <c r="W3" s="122"/>
      <c r="X3" s="122"/>
      <c r="Y3" s="122"/>
      <c r="Z3" s="122"/>
      <c r="AA3" s="122"/>
      <c r="AB3" s="128"/>
    </row>
    <row r="4" spans="1:28" x14ac:dyDescent="0.25">
      <c r="A4" s="123" t="s">
        <v>409</v>
      </c>
      <c r="B4" s="129" t="s">
        <v>9</v>
      </c>
      <c r="C4" s="119" t="s">
        <v>30</v>
      </c>
      <c r="D4" s="119" t="s">
        <v>9</v>
      </c>
      <c r="E4" s="130" t="s">
        <v>30</v>
      </c>
      <c r="F4" s="129" t="s">
        <v>9</v>
      </c>
      <c r="G4" s="119" t="s">
        <v>9</v>
      </c>
      <c r="H4" s="119" t="s">
        <v>9</v>
      </c>
      <c r="I4" s="130" t="s">
        <v>9</v>
      </c>
      <c r="J4" s="129" t="s">
        <v>30</v>
      </c>
      <c r="K4" s="119" t="s">
        <v>9</v>
      </c>
      <c r="L4" s="119" t="s">
        <v>9</v>
      </c>
      <c r="M4" s="119" t="s">
        <v>9</v>
      </c>
      <c r="N4" s="119" t="s">
        <v>9</v>
      </c>
      <c r="O4" s="119" t="s">
        <v>9</v>
      </c>
      <c r="P4" s="119" t="s">
        <v>9</v>
      </c>
      <c r="Q4" s="119" t="s">
        <v>9</v>
      </c>
      <c r="R4" s="119" t="s">
        <v>30</v>
      </c>
      <c r="S4" s="130" t="s">
        <v>30</v>
      </c>
      <c r="T4" s="129" t="s">
        <v>30</v>
      </c>
      <c r="U4" s="130" t="s">
        <v>9</v>
      </c>
      <c r="V4" s="129" t="s">
        <v>9</v>
      </c>
      <c r="W4" s="129" t="s">
        <v>9</v>
      </c>
      <c r="X4" s="129" t="s">
        <v>30</v>
      </c>
      <c r="Y4" s="129" t="s">
        <v>9</v>
      </c>
      <c r="Z4" s="129" t="s">
        <v>30</v>
      </c>
      <c r="AA4" s="129" t="s">
        <v>9</v>
      </c>
      <c r="AB4" s="129" t="s">
        <v>9</v>
      </c>
    </row>
    <row r="5" spans="1:28" x14ac:dyDescent="0.25">
      <c r="A5" s="116" t="s">
        <v>590</v>
      </c>
      <c r="B5" s="127"/>
      <c r="C5" s="122"/>
      <c r="D5" s="122"/>
      <c r="E5" s="128"/>
      <c r="F5" s="127"/>
      <c r="G5" s="122"/>
      <c r="H5" s="122"/>
      <c r="I5" s="128"/>
      <c r="J5" s="127"/>
      <c r="K5" s="122"/>
      <c r="L5" s="122"/>
      <c r="M5" s="122"/>
      <c r="N5" s="122"/>
      <c r="O5" s="122"/>
      <c r="P5" s="122"/>
      <c r="Q5" s="122"/>
      <c r="R5" s="122"/>
      <c r="S5" s="128"/>
      <c r="T5" s="127"/>
      <c r="U5" s="128"/>
      <c r="V5" s="127"/>
      <c r="W5" s="122"/>
      <c r="X5" s="122"/>
      <c r="Y5" s="122"/>
      <c r="Z5" s="122"/>
      <c r="AA5" s="122"/>
      <c r="AB5" s="128"/>
    </row>
    <row r="6" spans="1:28" x14ac:dyDescent="0.25">
      <c r="A6" s="124" t="s">
        <v>5</v>
      </c>
      <c r="B6" s="131" t="s">
        <v>19</v>
      </c>
      <c r="C6" s="120" t="s">
        <v>19</v>
      </c>
      <c r="D6" s="120"/>
      <c r="E6" s="132"/>
      <c r="F6" s="131" t="s">
        <v>19</v>
      </c>
      <c r="G6" s="120" t="s">
        <v>19</v>
      </c>
      <c r="H6" s="120" t="s">
        <v>19</v>
      </c>
      <c r="I6" s="132" t="s">
        <v>19</v>
      </c>
      <c r="J6" s="131" t="s">
        <v>31</v>
      </c>
      <c r="K6" s="120" t="s">
        <v>32</v>
      </c>
      <c r="L6" s="120" t="s">
        <v>19</v>
      </c>
      <c r="M6" s="120" t="s">
        <v>19</v>
      </c>
      <c r="N6" s="120" t="s">
        <v>33</v>
      </c>
      <c r="O6" s="120" t="s">
        <v>34</v>
      </c>
      <c r="P6" s="120" t="s">
        <v>299</v>
      </c>
      <c r="Q6" s="120" t="s">
        <v>301</v>
      </c>
      <c r="R6" s="120" t="s">
        <v>304</v>
      </c>
      <c r="S6" s="132" t="s">
        <v>566</v>
      </c>
      <c r="T6" s="131" t="s">
        <v>566</v>
      </c>
      <c r="U6" s="132" t="s">
        <v>577</v>
      </c>
      <c r="V6" s="131" t="s">
        <v>299</v>
      </c>
      <c r="W6" s="120" t="s">
        <v>795</v>
      </c>
      <c r="X6" s="120" t="s">
        <v>301</v>
      </c>
      <c r="Y6" s="120" t="s">
        <v>301</v>
      </c>
      <c r="Z6" s="120" t="s">
        <v>34</v>
      </c>
      <c r="AA6" s="120" t="s">
        <v>33</v>
      </c>
      <c r="AB6" s="132" t="s">
        <v>789</v>
      </c>
    </row>
    <row r="7" spans="1:28" x14ac:dyDescent="0.25">
      <c r="A7" s="124" t="s">
        <v>6</v>
      </c>
      <c r="B7" s="131" t="s">
        <v>21</v>
      </c>
      <c r="C7" s="120" t="s">
        <v>74</v>
      </c>
      <c r="D7" s="120"/>
      <c r="E7" s="132"/>
      <c r="F7" s="131" t="s">
        <v>573</v>
      </c>
      <c r="G7" s="120" t="s">
        <v>572</v>
      </c>
      <c r="H7" s="120" t="s">
        <v>21</v>
      </c>
      <c r="I7" s="132" t="s">
        <v>21</v>
      </c>
      <c r="J7" s="131" t="s">
        <v>74</v>
      </c>
      <c r="K7" s="120" t="s">
        <v>36</v>
      </c>
      <c r="L7" s="120" t="s">
        <v>21</v>
      </c>
      <c r="M7" s="120" t="s">
        <v>21</v>
      </c>
      <c r="N7" s="120" t="s">
        <v>37</v>
      </c>
      <c r="O7" s="120" t="s">
        <v>35</v>
      </c>
      <c r="P7" s="120" t="s">
        <v>21</v>
      </c>
      <c r="Q7" s="120" t="s">
        <v>302</v>
      </c>
      <c r="R7" s="120" t="s">
        <v>305</v>
      </c>
      <c r="S7" s="132" t="s">
        <v>308</v>
      </c>
      <c r="T7" s="131"/>
      <c r="U7" s="132"/>
      <c r="V7" s="131" t="s">
        <v>797</v>
      </c>
      <c r="W7" s="120" t="s">
        <v>796</v>
      </c>
      <c r="X7" s="120" t="s">
        <v>21</v>
      </c>
      <c r="Y7" s="120" t="s">
        <v>21</v>
      </c>
      <c r="Z7" s="120" t="s">
        <v>791</v>
      </c>
      <c r="AA7" s="120" t="s">
        <v>573</v>
      </c>
      <c r="AB7" s="132" t="s">
        <v>788</v>
      </c>
    </row>
    <row r="8" spans="1:28" x14ac:dyDescent="0.25">
      <c r="A8" s="124" t="s">
        <v>7</v>
      </c>
      <c r="B8" s="131" t="s">
        <v>20</v>
      </c>
      <c r="C8" s="120" t="s">
        <v>39</v>
      </c>
      <c r="D8" s="120"/>
      <c r="E8" s="132"/>
      <c r="F8" s="131" t="s">
        <v>20</v>
      </c>
      <c r="G8" s="120" t="s">
        <v>20</v>
      </c>
      <c r="H8" s="120" t="s">
        <v>20</v>
      </c>
      <c r="I8" s="132" t="s">
        <v>20</v>
      </c>
      <c r="J8" s="131" t="s">
        <v>39</v>
      </c>
      <c r="K8" s="120" t="s">
        <v>42</v>
      </c>
      <c r="L8" s="120" t="s">
        <v>20</v>
      </c>
      <c r="M8" s="120" t="s">
        <v>20</v>
      </c>
      <c r="N8" s="120" t="s">
        <v>40</v>
      </c>
      <c r="O8" s="120" t="s">
        <v>38</v>
      </c>
      <c r="P8" s="120" t="s">
        <v>20</v>
      </c>
      <c r="Q8" s="120" t="s">
        <v>38</v>
      </c>
      <c r="R8" s="120" t="s">
        <v>306</v>
      </c>
      <c r="S8" s="132" t="s">
        <v>39</v>
      </c>
      <c r="T8" s="131" t="s">
        <v>578</v>
      </c>
      <c r="U8" s="132" t="s">
        <v>579</v>
      </c>
      <c r="V8" s="131" t="s">
        <v>798</v>
      </c>
      <c r="W8" s="120" t="s">
        <v>793</v>
      </c>
      <c r="X8" s="120" t="s">
        <v>794</v>
      </c>
      <c r="Y8" s="120" t="s">
        <v>793</v>
      </c>
      <c r="Z8" s="120" t="s">
        <v>792</v>
      </c>
      <c r="AA8" s="120" t="s">
        <v>790</v>
      </c>
      <c r="AB8" s="132" t="s">
        <v>40</v>
      </c>
    </row>
    <row r="9" spans="1:28" x14ac:dyDescent="0.25">
      <c r="A9" s="124" t="s">
        <v>162</v>
      </c>
      <c r="B9" s="131">
        <v>0.21</v>
      </c>
      <c r="C9" s="120">
        <v>0.28000000000000003</v>
      </c>
      <c r="D9" s="120"/>
      <c r="E9" s="132"/>
      <c r="F9" s="131">
        <v>0.25</v>
      </c>
      <c r="G9" s="120">
        <v>0.15</v>
      </c>
      <c r="H9" s="120">
        <v>0.18</v>
      </c>
      <c r="I9" s="132">
        <v>0.18</v>
      </c>
      <c r="J9" s="131">
        <v>0.18</v>
      </c>
      <c r="K9" s="120">
        <v>0.18</v>
      </c>
      <c r="L9" s="120">
        <v>0.18</v>
      </c>
      <c r="M9" s="120">
        <v>0.18</v>
      </c>
      <c r="N9" s="120">
        <v>0.18</v>
      </c>
      <c r="O9" s="120">
        <v>0.18</v>
      </c>
      <c r="P9" s="120">
        <v>0.18</v>
      </c>
      <c r="Q9" s="120">
        <v>0.12</v>
      </c>
      <c r="R9" s="120">
        <v>0.25</v>
      </c>
      <c r="S9" s="132">
        <v>0.18</v>
      </c>
      <c r="T9" s="131">
        <v>0.32</v>
      </c>
      <c r="U9" s="132">
        <v>0.02</v>
      </c>
      <c r="V9" s="131"/>
      <c r="W9" s="120"/>
      <c r="X9" s="120"/>
      <c r="Y9" s="120"/>
      <c r="Z9" s="120"/>
      <c r="AA9" s="120"/>
      <c r="AB9" s="132"/>
    </row>
    <row r="10" spans="1:28" x14ac:dyDescent="0.25">
      <c r="A10" s="116" t="s">
        <v>591</v>
      </c>
      <c r="B10" s="127"/>
      <c r="C10" s="122"/>
      <c r="D10" s="122"/>
      <c r="E10" s="128"/>
      <c r="F10" s="127"/>
      <c r="G10" s="122"/>
      <c r="H10" s="122"/>
      <c r="I10" s="128"/>
      <c r="J10" s="127"/>
      <c r="K10" s="122"/>
      <c r="L10" s="122"/>
      <c r="M10" s="122"/>
      <c r="N10" s="122"/>
      <c r="O10" s="122"/>
      <c r="P10" s="122"/>
      <c r="Q10" s="122"/>
      <c r="R10" s="122"/>
      <c r="S10" s="128"/>
      <c r="T10" s="127"/>
      <c r="U10" s="128"/>
      <c r="V10" s="127"/>
      <c r="W10" s="122"/>
      <c r="X10" s="122"/>
      <c r="Y10" s="122"/>
      <c r="Z10" s="122"/>
      <c r="AA10" s="122"/>
      <c r="AB10" s="128"/>
    </row>
    <row r="11" spans="1:28" x14ac:dyDescent="0.25">
      <c r="A11" s="124" t="s">
        <v>589</v>
      </c>
      <c r="B11" s="131"/>
      <c r="C11" s="120"/>
      <c r="D11" s="120"/>
      <c r="E11" s="132"/>
      <c r="F11" s="131"/>
      <c r="G11" s="120"/>
      <c r="H11" s="120"/>
      <c r="I11" s="132"/>
      <c r="J11" s="131"/>
      <c r="K11" s="120"/>
      <c r="L11" s="120"/>
      <c r="M11" s="120"/>
      <c r="N11" s="120"/>
      <c r="O11" s="120"/>
      <c r="P11" s="120"/>
      <c r="Q11" s="120"/>
      <c r="R11" s="120"/>
      <c r="S11" s="132"/>
      <c r="T11" s="131"/>
      <c r="U11" s="132"/>
      <c r="V11" s="131"/>
      <c r="W11" s="120"/>
      <c r="X11" s="120"/>
      <c r="Y11" s="120"/>
      <c r="Z11" s="120"/>
      <c r="AA11" s="120"/>
      <c r="AB11" s="132"/>
    </row>
    <row r="12" spans="1:28" x14ac:dyDescent="0.25">
      <c r="A12" s="124" t="s">
        <v>555</v>
      </c>
      <c r="B12" s="131"/>
      <c r="C12" s="120"/>
      <c r="D12" s="120"/>
      <c r="E12" s="132"/>
      <c r="F12" s="131"/>
      <c r="G12" s="120"/>
      <c r="H12" s="120"/>
      <c r="I12" s="132"/>
      <c r="J12" s="131"/>
      <c r="K12" s="120"/>
      <c r="L12" s="120"/>
      <c r="M12" s="120"/>
      <c r="N12" s="120"/>
      <c r="O12" s="120"/>
      <c r="P12" s="120"/>
      <c r="Q12" s="120"/>
      <c r="R12" s="120"/>
      <c r="S12" s="132"/>
      <c r="T12" s="131"/>
      <c r="U12" s="132"/>
      <c r="V12" s="131"/>
      <c r="W12" s="120"/>
      <c r="X12" s="120"/>
      <c r="Y12" s="120"/>
      <c r="Z12" s="120"/>
      <c r="AA12" s="120"/>
      <c r="AB12" s="132"/>
    </row>
    <row r="13" spans="1:28" x14ac:dyDescent="0.25">
      <c r="A13" s="124" t="s">
        <v>62</v>
      </c>
      <c r="B13" s="131" t="s">
        <v>22</v>
      </c>
      <c r="C13" s="120" t="s">
        <v>22</v>
      </c>
      <c r="D13" s="120"/>
      <c r="E13" s="132"/>
      <c r="F13" s="131" t="s">
        <v>22</v>
      </c>
      <c r="G13" s="120" t="s">
        <v>22</v>
      </c>
      <c r="H13" s="120" t="s">
        <v>612</v>
      </c>
      <c r="I13" s="132" t="s">
        <v>611</v>
      </c>
      <c r="J13" s="131" t="s">
        <v>22</v>
      </c>
      <c r="K13" s="120" t="s">
        <v>41</v>
      </c>
      <c r="L13" s="120" t="s">
        <v>612</v>
      </c>
      <c r="M13" s="120" t="s">
        <v>22</v>
      </c>
      <c r="N13" s="120" t="s">
        <v>571</v>
      </c>
      <c r="O13" s="120" t="s">
        <v>612</v>
      </c>
      <c r="P13" s="120" t="s">
        <v>69</v>
      </c>
      <c r="Q13" s="120" t="s">
        <v>22</v>
      </c>
      <c r="R13" s="120" t="s">
        <v>22</v>
      </c>
      <c r="S13" s="132" t="s">
        <v>22</v>
      </c>
      <c r="T13" s="131" t="s">
        <v>576</v>
      </c>
      <c r="U13" s="132" t="s">
        <v>571</v>
      </c>
      <c r="V13" s="131"/>
      <c r="W13" s="120"/>
      <c r="X13" s="120"/>
      <c r="Y13" s="120"/>
      <c r="Z13" s="120"/>
      <c r="AA13" s="120"/>
      <c r="AB13" s="132"/>
    </row>
    <row r="14" spans="1:28" x14ac:dyDescent="0.25">
      <c r="A14" s="124" t="s">
        <v>551</v>
      </c>
      <c r="B14" s="131" t="s">
        <v>553</v>
      </c>
      <c r="C14" s="120" t="s">
        <v>553</v>
      </c>
      <c r="D14" s="120"/>
      <c r="E14" s="132"/>
      <c r="F14" s="131" t="s">
        <v>553</v>
      </c>
      <c r="G14" s="120" t="s">
        <v>553</v>
      </c>
      <c r="H14" s="120" t="s">
        <v>553</v>
      </c>
      <c r="I14" s="132" t="s">
        <v>553</v>
      </c>
      <c r="J14" s="131" t="s">
        <v>553</v>
      </c>
      <c r="K14" s="120" t="s">
        <v>567</v>
      </c>
      <c r="L14" s="120" t="s">
        <v>569</v>
      </c>
      <c r="M14" s="120" t="s">
        <v>553</v>
      </c>
      <c r="N14" s="120" t="s">
        <v>569</v>
      </c>
      <c r="O14" s="120" t="s">
        <v>567</v>
      </c>
      <c r="P14" s="120" t="s">
        <v>553</v>
      </c>
      <c r="Q14" s="120" t="s">
        <v>553</v>
      </c>
      <c r="R14" s="120" t="s">
        <v>553</v>
      </c>
      <c r="S14" s="132" t="s">
        <v>553</v>
      </c>
      <c r="T14" s="131" t="s">
        <v>567</v>
      </c>
      <c r="U14" s="132" t="s">
        <v>569</v>
      </c>
      <c r="V14" s="131"/>
      <c r="W14" s="120"/>
      <c r="X14" s="120"/>
      <c r="Y14" s="120"/>
      <c r="Z14" s="120"/>
      <c r="AA14" s="120"/>
      <c r="AB14" s="132"/>
    </row>
    <row r="15" spans="1:28" x14ac:dyDescent="0.25">
      <c r="A15" s="124" t="s">
        <v>552</v>
      </c>
      <c r="B15" s="131" t="s">
        <v>554</v>
      </c>
      <c r="C15" s="120" t="s">
        <v>554</v>
      </c>
      <c r="D15" s="120"/>
      <c r="E15" s="132"/>
      <c r="F15" s="131" t="s">
        <v>554</v>
      </c>
      <c r="G15" s="120" t="s">
        <v>554</v>
      </c>
      <c r="H15" s="120" t="s">
        <v>554</v>
      </c>
      <c r="I15" s="132" t="s">
        <v>554</v>
      </c>
      <c r="J15" s="131" t="s">
        <v>554</v>
      </c>
      <c r="K15" s="120" t="s">
        <v>568</v>
      </c>
      <c r="L15" s="120" t="s">
        <v>570</v>
      </c>
      <c r="M15" s="120" t="s">
        <v>554</v>
      </c>
      <c r="N15" s="120" t="s">
        <v>570</v>
      </c>
      <c r="O15" s="120" t="s">
        <v>568</v>
      </c>
      <c r="P15" s="120" t="s">
        <v>554</v>
      </c>
      <c r="Q15" s="120" t="s">
        <v>554</v>
      </c>
      <c r="R15" s="120" t="s">
        <v>554</v>
      </c>
      <c r="S15" s="132" t="s">
        <v>554</v>
      </c>
      <c r="T15" s="131" t="s">
        <v>568</v>
      </c>
      <c r="U15" s="132" t="s">
        <v>570</v>
      </c>
      <c r="V15" s="131"/>
      <c r="W15" s="120"/>
      <c r="X15" s="120"/>
      <c r="Y15" s="120"/>
      <c r="Z15" s="120"/>
      <c r="AA15" s="120"/>
      <c r="AB15" s="132"/>
    </row>
    <row r="16" spans="1:28" x14ac:dyDescent="0.25">
      <c r="A16" s="124" t="s">
        <v>64</v>
      </c>
      <c r="B16" s="131" t="s">
        <v>282</v>
      </c>
      <c r="C16" s="120" t="s">
        <v>282</v>
      </c>
      <c r="D16" s="120"/>
      <c r="E16" s="132"/>
      <c r="F16" s="131" t="s">
        <v>282</v>
      </c>
      <c r="G16" s="120" t="s">
        <v>282</v>
      </c>
      <c r="H16" s="120" t="s">
        <v>283</v>
      </c>
      <c r="I16" s="132" t="s">
        <v>687</v>
      </c>
      <c r="J16" s="131" t="s">
        <v>71</v>
      </c>
      <c r="K16" s="120" t="s">
        <v>72</v>
      </c>
      <c r="L16" s="120" t="s">
        <v>73</v>
      </c>
      <c r="M16" s="120" t="s">
        <v>278</v>
      </c>
      <c r="N16" s="120" t="s">
        <v>278</v>
      </c>
      <c r="O16" s="120" t="s">
        <v>71</v>
      </c>
      <c r="P16" s="120" t="s">
        <v>278</v>
      </c>
      <c r="Q16" s="120" t="s">
        <v>278</v>
      </c>
      <c r="R16" s="120" t="s">
        <v>71</v>
      </c>
      <c r="S16" s="132" t="s">
        <v>71</v>
      </c>
      <c r="T16" s="131" t="s">
        <v>687</v>
      </c>
      <c r="U16" s="132" t="s">
        <v>283</v>
      </c>
      <c r="V16" s="131"/>
      <c r="W16" s="120"/>
      <c r="X16" s="120"/>
      <c r="Y16" s="120"/>
      <c r="Z16" s="120"/>
      <c r="AA16" s="120"/>
      <c r="AB16" s="132"/>
    </row>
    <row r="17" spans="1:28" ht="30" x14ac:dyDescent="0.25">
      <c r="A17" s="133" t="s">
        <v>593</v>
      </c>
      <c r="B17" s="127"/>
      <c r="C17" s="122"/>
      <c r="D17" s="122"/>
      <c r="E17" s="128"/>
      <c r="F17" s="127"/>
      <c r="G17" s="122"/>
      <c r="H17" s="122"/>
      <c r="I17" s="128"/>
      <c r="J17" s="127"/>
      <c r="K17" s="122"/>
      <c r="L17" s="122"/>
      <c r="M17" s="122"/>
      <c r="N17" s="122"/>
      <c r="O17" s="122"/>
      <c r="P17" s="122"/>
      <c r="Q17" s="122"/>
      <c r="R17" s="122"/>
      <c r="S17" s="128"/>
      <c r="T17" s="127"/>
      <c r="U17" s="128"/>
      <c r="V17" s="127"/>
      <c r="W17" s="122"/>
      <c r="X17" s="122"/>
      <c r="Y17" s="122"/>
      <c r="Z17" s="122"/>
      <c r="AA17" s="122"/>
      <c r="AB17" s="128"/>
    </row>
    <row r="18" spans="1:28" x14ac:dyDescent="0.25">
      <c r="A18" s="124" t="s">
        <v>584</v>
      </c>
      <c r="B18" s="131"/>
      <c r="C18" s="120"/>
      <c r="D18" s="120"/>
      <c r="E18" s="132"/>
      <c r="F18" s="131"/>
      <c r="G18" s="120"/>
      <c r="H18" s="120"/>
      <c r="I18" s="132"/>
      <c r="J18" s="131"/>
      <c r="K18" s="120"/>
      <c r="L18" s="120"/>
      <c r="M18" s="120"/>
      <c r="N18" s="120"/>
      <c r="O18" s="120"/>
      <c r="P18" s="120"/>
      <c r="Q18" s="120"/>
      <c r="R18" s="120"/>
      <c r="S18" s="132"/>
      <c r="T18" s="131"/>
      <c r="U18" s="132"/>
      <c r="V18" s="131"/>
      <c r="W18" s="120"/>
      <c r="X18" s="120"/>
      <c r="Y18" s="120"/>
      <c r="Z18" s="120"/>
      <c r="AA18" s="120"/>
      <c r="AB18" s="132"/>
    </row>
    <row r="19" spans="1:28" x14ac:dyDescent="0.25">
      <c r="A19" s="124" t="s">
        <v>8</v>
      </c>
      <c r="B19" s="131"/>
      <c r="C19" s="120"/>
      <c r="D19" s="120"/>
      <c r="E19" s="132"/>
      <c r="F19" s="131"/>
      <c r="G19" s="120"/>
      <c r="H19" s="120"/>
      <c r="I19" s="132"/>
      <c r="J19" s="131"/>
      <c r="K19" s="120"/>
      <c r="L19" s="120"/>
      <c r="M19" s="120"/>
      <c r="N19" s="120"/>
      <c r="O19" s="120"/>
      <c r="P19" s="120"/>
      <c r="Q19" s="120"/>
      <c r="R19" s="120"/>
      <c r="S19" s="132"/>
      <c r="T19" s="131">
        <v>0.5</v>
      </c>
      <c r="U19" s="132">
        <v>0.6</v>
      </c>
      <c r="V19" s="131"/>
      <c r="W19" s="120"/>
      <c r="X19" s="120"/>
      <c r="Y19" s="120"/>
      <c r="Z19" s="120"/>
      <c r="AA19" s="120"/>
      <c r="AB19" s="132"/>
    </row>
    <row r="20" spans="1:28" x14ac:dyDescent="0.25">
      <c r="A20" s="124" t="s">
        <v>560</v>
      </c>
      <c r="B20" s="131"/>
      <c r="C20" s="120"/>
      <c r="D20" s="120"/>
      <c r="E20" s="132"/>
      <c r="F20" s="131"/>
      <c r="G20" s="120"/>
      <c r="H20" s="120"/>
      <c r="I20" s="132"/>
      <c r="J20" s="131"/>
      <c r="K20" s="120"/>
      <c r="L20" s="120"/>
      <c r="M20" s="120"/>
      <c r="N20" s="120"/>
      <c r="O20" s="120"/>
      <c r="P20" s="120"/>
      <c r="Q20" s="120"/>
      <c r="R20" s="120"/>
      <c r="S20" s="132"/>
      <c r="T20" s="131"/>
      <c r="U20" s="132"/>
      <c r="V20" s="131"/>
      <c r="W20" s="120"/>
      <c r="X20" s="120"/>
      <c r="Y20" s="120"/>
      <c r="Z20" s="120"/>
      <c r="AA20" s="120"/>
      <c r="AB20" s="132"/>
    </row>
    <row r="21" spans="1:28" x14ac:dyDescent="0.25">
      <c r="A21" s="116" t="s">
        <v>592</v>
      </c>
      <c r="B21" s="127"/>
      <c r="C21" s="122"/>
      <c r="D21" s="122"/>
      <c r="E21" s="128"/>
      <c r="F21" s="127"/>
      <c r="G21" s="122"/>
      <c r="H21" s="122"/>
      <c r="I21" s="128"/>
      <c r="J21" s="127"/>
      <c r="K21" s="122"/>
      <c r="L21" s="122"/>
      <c r="M21" s="122"/>
      <c r="N21" s="122"/>
      <c r="O21" s="122"/>
      <c r="P21" s="122"/>
      <c r="Q21" s="122"/>
      <c r="R21" s="122"/>
      <c r="S21" s="128"/>
      <c r="T21" s="127"/>
      <c r="U21" s="128"/>
      <c r="V21" s="127"/>
      <c r="W21" s="122"/>
      <c r="X21" s="122"/>
      <c r="Y21" s="122"/>
      <c r="Z21" s="122"/>
      <c r="AA21" s="122"/>
      <c r="AB21" s="128"/>
    </row>
    <row r="22" spans="1:28" x14ac:dyDescent="0.25">
      <c r="A22" s="124" t="s">
        <v>557</v>
      </c>
      <c r="B22" s="131"/>
      <c r="C22" s="120"/>
      <c r="D22" s="120"/>
      <c r="E22" s="132"/>
      <c r="F22" s="131"/>
      <c r="G22" s="120"/>
      <c r="H22" s="120"/>
      <c r="I22" s="132"/>
      <c r="J22" s="131"/>
      <c r="K22" s="120"/>
      <c r="L22" s="120"/>
      <c r="M22" s="120"/>
      <c r="N22" s="120"/>
      <c r="O22" s="120"/>
      <c r="P22" s="120"/>
      <c r="Q22" s="120"/>
      <c r="R22" s="120"/>
      <c r="S22" s="132"/>
      <c r="T22" s="131"/>
      <c r="U22" s="132"/>
      <c r="V22" s="131"/>
      <c r="W22" s="120"/>
      <c r="X22" s="120"/>
      <c r="Y22" s="120"/>
      <c r="Z22" s="120"/>
      <c r="AA22" s="120"/>
      <c r="AB22" s="132"/>
    </row>
    <row r="23" spans="1:28" x14ac:dyDescent="0.25">
      <c r="A23" s="124" t="s">
        <v>558</v>
      </c>
      <c r="B23" s="131"/>
      <c r="C23" s="120"/>
      <c r="D23" s="120"/>
      <c r="E23" s="132"/>
      <c r="F23" s="131"/>
      <c r="G23" s="120"/>
      <c r="H23" s="120"/>
      <c r="I23" s="132"/>
      <c r="J23" s="131"/>
      <c r="K23" s="120"/>
      <c r="L23" s="120"/>
      <c r="M23" s="120"/>
      <c r="N23" s="120"/>
      <c r="O23" s="120"/>
      <c r="P23" s="120"/>
      <c r="Q23" s="120"/>
      <c r="R23" s="120"/>
      <c r="S23" s="132"/>
      <c r="T23" s="131"/>
      <c r="U23" s="132"/>
      <c r="V23" s="131"/>
      <c r="W23" s="120"/>
      <c r="X23" s="120"/>
      <c r="Y23" s="120"/>
      <c r="Z23" s="120"/>
      <c r="AA23" s="120"/>
      <c r="AB23" s="132"/>
    </row>
    <row r="24" spans="1:28" x14ac:dyDescent="0.25">
      <c r="A24" s="124" t="s">
        <v>556</v>
      </c>
      <c r="B24" s="131"/>
      <c r="C24" s="120"/>
      <c r="D24" s="120"/>
      <c r="E24" s="132"/>
      <c r="F24" s="131"/>
      <c r="G24" s="120"/>
      <c r="H24" s="120"/>
      <c r="I24" s="132"/>
      <c r="J24" s="131"/>
      <c r="K24" s="120"/>
      <c r="L24" s="120"/>
      <c r="M24" s="120"/>
      <c r="N24" s="120"/>
      <c r="O24" s="120"/>
      <c r="P24" s="120"/>
      <c r="Q24" s="120"/>
      <c r="R24" s="120"/>
      <c r="S24" s="132"/>
      <c r="T24" s="131"/>
      <c r="U24" s="132"/>
      <c r="V24" s="131"/>
      <c r="W24" s="120"/>
      <c r="X24" s="120"/>
      <c r="Y24" s="120"/>
      <c r="Z24" s="120"/>
      <c r="AA24" s="120"/>
      <c r="AB24" s="132"/>
    </row>
    <row r="25" spans="1:28" x14ac:dyDescent="0.25">
      <c r="A25" s="124" t="s">
        <v>561</v>
      </c>
      <c r="B25" s="131"/>
      <c r="C25" s="120"/>
      <c r="D25" s="120"/>
      <c r="E25" s="132"/>
      <c r="F25" s="131"/>
      <c r="G25" s="120"/>
      <c r="H25" s="120"/>
      <c r="I25" s="132"/>
      <c r="J25" s="131"/>
      <c r="K25" s="120"/>
      <c r="L25" s="120"/>
      <c r="M25" s="120"/>
      <c r="N25" s="120"/>
      <c r="O25" s="120"/>
      <c r="P25" s="120"/>
      <c r="Q25" s="120"/>
      <c r="R25" s="120"/>
      <c r="S25" s="132"/>
      <c r="T25" s="131"/>
      <c r="U25" s="132"/>
      <c r="V25" s="131"/>
      <c r="W25" s="120"/>
      <c r="X25" s="120"/>
      <c r="Y25" s="120"/>
      <c r="Z25" s="120"/>
      <c r="AA25" s="120"/>
      <c r="AB25" s="132"/>
    </row>
    <row r="26" spans="1:28" x14ac:dyDescent="0.25">
      <c r="A26" s="124" t="s">
        <v>559</v>
      </c>
      <c r="B26" s="131"/>
      <c r="C26" s="120"/>
      <c r="D26" s="120"/>
      <c r="E26" s="132"/>
      <c r="F26" s="131"/>
      <c r="G26" s="120"/>
      <c r="H26" s="120"/>
      <c r="I26" s="132"/>
      <c r="J26" s="131"/>
      <c r="K26" s="120"/>
      <c r="L26" s="120"/>
      <c r="M26" s="120"/>
      <c r="N26" s="120"/>
      <c r="O26" s="120"/>
      <c r="P26" s="120"/>
      <c r="Q26" s="120"/>
      <c r="R26" s="120"/>
      <c r="S26" s="132"/>
      <c r="T26" s="131"/>
      <c r="U26" s="132"/>
      <c r="V26" s="131"/>
      <c r="W26" s="120"/>
      <c r="X26" s="120"/>
      <c r="Y26" s="120"/>
      <c r="Z26" s="120"/>
      <c r="AA26" s="120"/>
      <c r="AB26" s="132"/>
    </row>
  </sheetData>
  <mergeCells count="5">
    <mergeCell ref="V1:AB1"/>
    <mergeCell ref="F1:I1"/>
    <mergeCell ref="B1:E1"/>
    <mergeCell ref="J1:S1"/>
    <mergeCell ref="T1:U1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R75"/>
  <sheetViews>
    <sheetView zoomScaleNormal="100" workbookViewId="0">
      <pane xSplit="1" ySplit="2" topLeftCell="AP3" activePane="bottomRight" state="frozen"/>
      <selection pane="topRight" activeCell="B1" sqref="B1"/>
      <selection pane="bottomLeft" activeCell="A4" sqref="A4"/>
      <selection pane="bottomRight" activeCell="CF27" sqref="CF27"/>
    </sheetView>
  </sheetViews>
  <sheetFormatPr defaultColWidth="9.140625" defaultRowHeight="15" outlineLevelCol="1" x14ac:dyDescent="0.25"/>
  <cols>
    <col min="1" max="1" width="38.28515625" style="53" bestFit="1" customWidth="1"/>
    <col min="2" max="2" width="14.28515625" style="84" bestFit="1" customWidth="1"/>
    <col min="3" max="3" width="14.28515625" style="84" hidden="1" customWidth="1" outlineLevel="1"/>
    <col min="4" max="4" width="17.7109375" style="84" hidden="1" customWidth="1" outlineLevel="1"/>
    <col min="5" max="5" width="14.28515625" style="84" hidden="1" customWidth="1" outlineLevel="1"/>
    <col min="6" max="6" width="16.42578125" style="84" bestFit="1" customWidth="1" collapsed="1"/>
    <col min="7" max="7" width="16" style="84" hidden="1" customWidth="1" outlineLevel="1"/>
    <col min="8" max="8" width="17.7109375" style="84" hidden="1" customWidth="1" outlineLevel="1"/>
    <col min="9" max="9" width="16.42578125" style="84" hidden="1" customWidth="1" outlineLevel="1"/>
    <col min="10" max="10" width="18.85546875" style="84" customWidth="1" collapsed="1"/>
    <col min="11" max="11" width="14.28515625" style="84" hidden="1" customWidth="1" outlineLevel="1"/>
    <col min="12" max="12" width="16.7109375" style="84" hidden="1" customWidth="1" outlineLevel="1"/>
    <col min="13" max="13" width="14.28515625" style="84" hidden="1" customWidth="1" outlineLevel="1"/>
    <col min="14" max="14" width="13.42578125" style="84" bestFit="1" customWidth="1" collapsed="1"/>
    <col min="15" max="15" width="14.28515625" style="84" hidden="1" customWidth="1" outlineLevel="1"/>
    <col min="16" max="16" width="16.28515625" style="84" hidden="1" customWidth="1" outlineLevel="1"/>
    <col min="17" max="17" width="14.28515625" style="84" hidden="1" customWidth="1" outlineLevel="1"/>
    <col min="18" max="18" width="18.140625" style="84" bestFit="1" customWidth="1" collapsed="1"/>
    <col min="19" max="19" width="14.28515625" style="84" hidden="1" customWidth="1" outlineLevel="1"/>
    <col min="20" max="20" width="16.28515625" style="84" hidden="1" customWidth="1" outlineLevel="1"/>
    <col min="21" max="21" width="14.28515625" style="84" hidden="1" customWidth="1" outlineLevel="1"/>
    <col min="22" max="22" width="21.5703125" style="84" bestFit="1" customWidth="1" collapsed="1"/>
    <col min="23" max="23" width="14.28515625" style="84" hidden="1" customWidth="1" outlineLevel="1"/>
    <col min="24" max="24" width="16.28515625" style="84" hidden="1" customWidth="1" outlineLevel="1"/>
    <col min="25" max="25" width="14.28515625" style="84" hidden="1" customWidth="1" outlineLevel="1"/>
    <col min="26" max="26" width="21.5703125" style="84" customWidth="1" collapsed="1"/>
    <col min="27" max="27" width="14.28515625" style="84" hidden="1" customWidth="1" outlineLevel="1"/>
    <col min="28" max="28" width="16.28515625" style="84" hidden="1" customWidth="1" outlineLevel="1"/>
    <col min="29" max="29" width="14.28515625" style="84" hidden="1" customWidth="1" outlineLevel="1"/>
    <col min="30" max="30" width="21.5703125" style="84" bestFit="1" customWidth="1" collapsed="1"/>
    <col min="31" max="33" width="22.5703125" style="84" hidden="1" customWidth="1" outlineLevel="1"/>
    <col min="34" max="34" width="26.140625" style="84" bestFit="1" customWidth="1" collapsed="1"/>
    <col min="35" max="37" width="26.140625" style="84" hidden="1" customWidth="1" outlineLevel="1"/>
    <col min="38" max="38" width="23.5703125" style="84" customWidth="1" collapsed="1"/>
    <col min="39" max="39" width="14.28515625" style="84" hidden="1" customWidth="1" outlineLevel="1"/>
    <col min="40" max="40" width="16.28515625" style="84" hidden="1" customWidth="1" outlineLevel="1"/>
    <col min="41" max="41" width="14.28515625" style="84" hidden="1" customWidth="1" outlineLevel="1"/>
    <col min="42" max="42" width="23.5703125" style="84" customWidth="1" collapsed="1"/>
    <col min="43" max="43" width="16.42578125" style="84" hidden="1" customWidth="1" outlineLevel="1"/>
    <col min="44" max="44" width="17.140625" style="84" hidden="1" customWidth="1" outlineLevel="1"/>
    <col min="45" max="45" width="22.5703125" style="84" hidden="1" customWidth="1" outlineLevel="1"/>
    <col min="46" max="46" width="15.5703125" style="84" bestFit="1" customWidth="1" collapsed="1"/>
    <col min="47" max="49" width="14.42578125" style="84" hidden="1" customWidth="1" outlineLevel="1"/>
    <col min="50" max="50" width="30" style="84" customWidth="1" collapsed="1"/>
    <col min="51" max="51" width="15.85546875" style="84" hidden="1" customWidth="1" outlineLevel="1"/>
    <col min="52" max="52" width="16.7109375" style="84" hidden="1" customWidth="1" outlineLevel="1"/>
    <col min="53" max="53" width="11.42578125" style="84" hidden="1" customWidth="1" outlineLevel="1"/>
    <col min="54" max="54" width="21.5703125" style="85" customWidth="1" collapsed="1"/>
    <col min="55" max="55" width="15.85546875" style="85" hidden="1" customWidth="1" outlineLevel="1"/>
    <col min="56" max="56" width="16.7109375" style="85" hidden="1" customWidth="1" outlineLevel="1"/>
    <col min="57" max="57" width="11.7109375" style="85" hidden="1" customWidth="1" outlineLevel="1"/>
    <col min="58" max="58" width="21.5703125" style="85" customWidth="1" collapsed="1"/>
    <col min="59" max="59" width="15.85546875" style="85" hidden="1" customWidth="1" outlineLevel="1"/>
    <col min="60" max="60" width="18.5703125" style="85" hidden="1" customWidth="1" outlineLevel="1"/>
    <col min="61" max="61" width="24" style="85" hidden="1" customWidth="1" outlineLevel="1"/>
    <col min="62" max="62" width="18.5703125" style="85" customWidth="1" collapsed="1"/>
    <col min="63" max="63" width="15.85546875" style="85" hidden="1" customWidth="1" outlineLevel="1"/>
    <col min="64" max="64" width="16.7109375" style="85" hidden="1" customWidth="1" outlineLevel="1"/>
    <col min="65" max="65" width="11.42578125" style="85" hidden="1" customWidth="1" outlineLevel="1"/>
    <col min="66" max="66" width="21.5703125" style="85" customWidth="1" collapsed="1"/>
    <col min="67" max="67" width="15.85546875" style="85" hidden="1" customWidth="1" outlineLevel="1"/>
    <col min="68" max="68" width="18.5703125" style="85" hidden="1" customWidth="1" outlineLevel="1"/>
    <col min="69" max="69" width="18.28515625" style="85" hidden="1" customWidth="1" outlineLevel="1"/>
    <col min="70" max="70" width="14.42578125" style="85" customWidth="1" collapsed="1"/>
    <col min="71" max="73" width="14.42578125" style="85" hidden="1" customWidth="1" outlineLevel="1"/>
    <col min="74" max="74" width="14.42578125" style="85" customWidth="1" collapsed="1"/>
    <col min="75" max="77" width="14.42578125" style="85" hidden="1" customWidth="1" outlineLevel="1"/>
    <col min="78" max="78" width="21.5703125" style="84" customWidth="1" collapsed="1"/>
    <col min="79" max="81" width="21.5703125" style="84" hidden="1" customWidth="1" outlineLevel="1"/>
    <col min="82" max="82" width="18.140625" style="85" customWidth="1" collapsed="1"/>
    <col min="83" max="85" width="18.140625" style="85" hidden="1" customWidth="1" outlineLevel="1"/>
    <col min="86" max="86" width="26.5703125" style="85" customWidth="1" collapsed="1"/>
    <col min="87" max="87" width="20.85546875" style="85" hidden="1" customWidth="1" outlineLevel="1"/>
    <col min="88" max="88" width="16.140625" style="85" hidden="1" customWidth="1" outlineLevel="1"/>
    <col min="89" max="89" width="24" style="85" hidden="1" customWidth="1" outlineLevel="1"/>
    <col min="90" max="90" width="18.5703125" style="85" customWidth="1" collapsed="1"/>
    <col min="91" max="91" width="15.85546875" style="85" hidden="1" customWidth="1" outlineLevel="1"/>
    <col min="92" max="92" width="16.7109375" style="85" hidden="1" customWidth="1" outlineLevel="1"/>
    <col min="93" max="93" width="11.42578125" style="85" hidden="1" customWidth="1" outlineLevel="1"/>
    <col min="94" max="94" width="21.5703125" style="85" customWidth="1" collapsed="1"/>
    <col min="95" max="95" width="15.85546875" style="85" hidden="1" customWidth="1" outlineLevel="1"/>
    <col min="96" max="96" width="16.7109375" style="85" hidden="1" customWidth="1" outlineLevel="1"/>
    <col min="97" max="97" width="11.42578125" style="85" hidden="1" customWidth="1" outlineLevel="1"/>
    <col min="98" max="98" width="21.5703125" style="85" bestFit="1" customWidth="1" collapsed="1"/>
    <col min="99" max="99" width="58.28515625" style="85" hidden="1" customWidth="1" outlineLevel="1"/>
    <col min="100" max="100" width="16.7109375" style="85" hidden="1" customWidth="1" outlineLevel="1"/>
    <col min="101" max="101" width="11.42578125" style="85" hidden="1" customWidth="1" outlineLevel="1"/>
    <col min="102" max="102" width="52" style="85" customWidth="1" collapsed="1"/>
    <col min="103" max="103" width="15.85546875" style="85" hidden="1" customWidth="1" outlineLevel="1" collapsed="1"/>
    <col min="104" max="104" width="16.7109375" style="85" hidden="1" customWidth="1" outlineLevel="1" collapsed="1"/>
    <col min="105" max="105" width="11.42578125" style="85" hidden="1" customWidth="1" outlineLevel="1" collapsed="1"/>
    <col min="106" max="106" width="14.85546875" style="40" bestFit="1" customWidth="1" collapsed="1"/>
    <col min="107" max="107" width="15.85546875" style="85" hidden="1" customWidth="1" outlineLevel="1" collapsed="1"/>
    <col min="108" max="108" width="16.7109375" style="85" hidden="1" customWidth="1" outlineLevel="1" collapsed="1"/>
    <col min="109" max="109" width="11.42578125" style="85" hidden="1" customWidth="1" outlineLevel="1" collapsed="1"/>
    <col min="110" max="110" width="12.7109375" style="85" bestFit="1" customWidth="1" collapsed="1"/>
    <col min="111" max="111" width="15.85546875" style="85" hidden="1" customWidth="1" outlineLevel="1" collapsed="1"/>
    <col min="112" max="112" width="16.7109375" style="85" hidden="1" customWidth="1" outlineLevel="1" collapsed="1"/>
    <col min="113" max="113" width="11.42578125" style="85" hidden="1" customWidth="1" outlineLevel="1" collapsed="1"/>
    <col min="114" max="114" width="12.7109375" style="85" bestFit="1" customWidth="1" collapsed="1"/>
    <col min="115" max="115" width="15.85546875" style="85" hidden="1" customWidth="1" outlineLevel="1" collapsed="1"/>
    <col min="116" max="116" width="16.7109375" style="85" hidden="1" customWidth="1" outlineLevel="1" collapsed="1"/>
    <col min="117" max="117" width="11.42578125" style="85" hidden="1" customWidth="1" outlineLevel="1" collapsed="1"/>
    <col min="118" max="118" width="14.42578125" style="85" bestFit="1" customWidth="1" collapsed="1"/>
    <col min="119" max="119" width="15.85546875" style="85" hidden="1" customWidth="1" outlineLevel="1" collapsed="1"/>
    <col min="120" max="120" width="16.7109375" style="85" hidden="1" customWidth="1" outlineLevel="1" collapsed="1"/>
    <col min="121" max="121" width="11.5703125" style="85" hidden="1" customWidth="1" outlineLevel="1" collapsed="1"/>
    <col min="122" max="122" width="12.7109375" style="85" bestFit="1" customWidth="1" collapsed="1"/>
    <col min="123" max="123" width="15.85546875" style="85" hidden="1" customWidth="1" outlineLevel="1" collapsed="1"/>
    <col min="124" max="124" width="16.7109375" style="85" hidden="1" customWidth="1" outlineLevel="1" collapsed="1"/>
    <col min="125" max="125" width="11.42578125" style="85" hidden="1" customWidth="1" outlineLevel="1" collapsed="1"/>
    <col min="126" max="126" width="15.5703125" style="85" bestFit="1" customWidth="1" collapsed="1"/>
    <col min="127" max="127" width="15.85546875" style="85" hidden="1" customWidth="1" outlineLevel="1" collapsed="1"/>
    <col min="128" max="128" width="16.7109375" style="85" hidden="1" customWidth="1" outlineLevel="1" collapsed="1"/>
    <col min="129" max="129" width="11.42578125" style="85" hidden="1" customWidth="1" outlineLevel="1" collapsed="1"/>
    <col min="130" max="130" width="15.5703125" style="85" bestFit="1" customWidth="1" collapsed="1"/>
    <col min="131" max="131" width="15.85546875" style="85" hidden="1" customWidth="1" outlineLevel="1" collapsed="1"/>
    <col min="132" max="132" width="16.7109375" style="85" hidden="1" customWidth="1" outlineLevel="1" collapsed="1"/>
    <col min="133" max="133" width="11.42578125" style="85" hidden="1" customWidth="1" outlineLevel="1" collapsed="1"/>
    <col min="134" max="134" width="15" style="85" bestFit="1" customWidth="1" collapsed="1"/>
    <col min="135" max="135" width="15.85546875" style="85" hidden="1" customWidth="1" outlineLevel="1" collapsed="1"/>
    <col min="136" max="136" width="16.7109375" style="85" hidden="1" customWidth="1" outlineLevel="1" collapsed="1"/>
    <col min="137" max="137" width="11.42578125" style="85" hidden="1" customWidth="1" outlineLevel="1" collapsed="1"/>
    <col min="138" max="138" width="14.42578125" style="85" bestFit="1" customWidth="1" collapsed="1"/>
    <col min="139" max="139" width="15.85546875" style="85" hidden="1" customWidth="1" outlineLevel="1" collapsed="1"/>
    <col min="140" max="140" width="16.7109375" style="85" hidden="1" customWidth="1" outlineLevel="1" collapsed="1"/>
    <col min="141" max="141" width="11.42578125" style="85" hidden="1" customWidth="1" outlineLevel="1" collapsed="1"/>
    <col min="142" max="142" width="14.42578125" style="85" bestFit="1" customWidth="1" outlineLevel="1"/>
    <col min="143" max="143" width="15.85546875" style="85" hidden="1" customWidth="1" outlineLevel="1" collapsed="1"/>
    <col min="144" max="144" width="16.7109375" style="85" hidden="1" customWidth="1" outlineLevel="1" collapsed="1"/>
    <col min="145" max="145" width="11.7109375" style="85" hidden="1" customWidth="1" outlineLevel="1" collapsed="1"/>
    <col min="146" max="146" width="14.85546875" style="40" bestFit="1" customWidth="1"/>
    <col min="147" max="147" width="15.85546875" style="85" hidden="1" customWidth="1" outlineLevel="1" collapsed="1"/>
    <col min="148" max="148" width="16.7109375" style="85" hidden="1" customWidth="1" outlineLevel="1" collapsed="1"/>
    <col min="149" max="149" width="11.7109375" style="85" hidden="1" customWidth="1" outlineLevel="1" collapsed="1"/>
    <col min="150" max="150" width="13.42578125" style="40" bestFit="1" customWidth="1" collapsed="1"/>
    <col min="151" max="151" width="15.85546875" style="85" hidden="1" customWidth="1" outlineLevel="1" collapsed="1"/>
    <col min="152" max="152" width="16.7109375" style="85" hidden="1" customWidth="1" outlineLevel="1" collapsed="1"/>
    <col min="153" max="153" width="11.7109375" style="85" hidden="1" customWidth="1" outlineLevel="1" collapsed="1"/>
    <col min="154" max="154" width="13.42578125" style="40" bestFit="1" customWidth="1" collapsed="1"/>
    <col min="155" max="155" width="15.85546875" style="85" hidden="1" customWidth="1" outlineLevel="1" collapsed="1"/>
    <col min="156" max="156" width="16.7109375" style="85" hidden="1" customWidth="1" outlineLevel="1" collapsed="1"/>
    <col min="157" max="157" width="11.42578125" style="85" hidden="1" customWidth="1" outlineLevel="1" collapsed="1"/>
    <col min="158" max="158" width="14.42578125" style="85" bestFit="1" customWidth="1" collapsed="1"/>
    <col min="159" max="159" width="15.85546875" style="85" hidden="1" customWidth="1" outlineLevel="1" collapsed="1"/>
    <col min="160" max="160" width="16.7109375" style="85" hidden="1" customWidth="1" outlineLevel="1" collapsed="1"/>
    <col min="161" max="161" width="11.42578125" style="85" hidden="1" customWidth="1" outlineLevel="1" collapsed="1"/>
    <col min="162" max="162" width="21.5703125" style="85" bestFit="1" customWidth="1" collapsed="1"/>
    <col min="163" max="163" width="15.85546875" style="85" hidden="1" customWidth="1" outlineLevel="1" collapsed="1"/>
    <col min="164" max="164" width="16.7109375" style="85" hidden="1" customWidth="1" outlineLevel="1" collapsed="1"/>
    <col min="165" max="165" width="11.7109375" style="85" hidden="1" customWidth="1" outlineLevel="1" collapsed="1"/>
    <col min="166" max="166" width="15.5703125" style="85" bestFit="1" customWidth="1" collapsed="1"/>
    <col min="167" max="167" width="15.85546875" style="85" hidden="1" customWidth="1" outlineLevel="1" collapsed="1"/>
    <col min="168" max="168" width="16.7109375" style="85" hidden="1" customWidth="1" outlineLevel="1" collapsed="1"/>
    <col min="169" max="169" width="15.5703125" style="85" hidden="1" customWidth="1" outlineLevel="1" collapsed="1"/>
    <col min="170" max="170" width="45.42578125" style="85" customWidth="1" collapsed="1"/>
    <col min="171" max="173" width="23" style="85" hidden="1" customWidth="1" outlineLevel="1" collapsed="1"/>
    <col min="174" max="174" width="9.140625" style="1" collapsed="1"/>
    <col min="175" max="16384" width="9.140625" style="1"/>
  </cols>
  <sheetData>
    <row r="1" spans="1:173" ht="15.75" thickBot="1" x14ac:dyDescent="0.3">
      <c r="A1" s="46"/>
      <c r="B1" s="41"/>
      <c r="C1" s="82" t="s">
        <v>355</v>
      </c>
      <c r="D1" s="82" t="s">
        <v>356</v>
      </c>
      <c r="E1" s="82" t="s">
        <v>357</v>
      </c>
      <c r="F1" s="41"/>
      <c r="G1" s="82" t="s">
        <v>355</v>
      </c>
      <c r="H1" s="82" t="s">
        <v>356</v>
      </c>
      <c r="I1" s="82" t="s">
        <v>357</v>
      </c>
      <c r="J1" s="42"/>
      <c r="K1" s="82" t="s">
        <v>355</v>
      </c>
      <c r="L1" s="82" t="s">
        <v>356</v>
      </c>
      <c r="M1" s="82" t="s">
        <v>357</v>
      </c>
      <c r="N1" s="41"/>
      <c r="O1" s="82" t="s">
        <v>355</v>
      </c>
      <c r="P1" s="82" t="s">
        <v>356</v>
      </c>
      <c r="Q1" s="82" t="s">
        <v>357</v>
      </c>
      <c r="R1" s="41"/>
      <c r="S1" s="82" t="s">
        <v>355</v>
      </c>
      <c r="T1" s="82" t="s">
        <v>356</v>
      </c>
      <c r="U1" s="82" t="s">
        <v>357</v>
      </c>
      <c r="V1" s="41"/>
      <c r="W1" s="82" t="s">
        <v>355</v>
      </c>
      <c r="X1" s="82" t="s">
        <v>356</v>
      </c>
      <c r="Y1" s="82" t="s">
        <v>357</v>
      </c>
      <c r="Z1" s="41"/>
      <c r="AA1" s="82" t="s">
        <v>355</v>
      </c>
      <c r="AB1" s="82" t="s">
        <v>356</v>
      </c>
      <c r="AC1" s="82" t="s">
        <v>357</v>
      </c>
      <c r="AD1" s="41"/>
      <c r="AE1" s="82" t="s">
        <v>355</v>
      </c>
      <c r="AF1" s="82" t="s">
        <v>356</v>
      </c>
      <c r="AG1" s="82" t="s">
        <v>357</v>
      </c>
      <c r="AH1" s="41"/>
      <c r="AI1" s="82" t="s">
        <v>355</v>
      </c>
      <c r="AJ1" s="82" t="s">
        <v>356</v>
      </c>
      <c r="AK1" s="82" t="s">
        <v>357</v>
      </c>
      <c r="AL1" s="41"/>
      <c r="AM1" s="82" t="s">
        <v>355</v>
      </c>
      <c r="AN1" s="82" t="s">
        <v>356</v>
      </c>
      <c r="AO1" s="82" t="s">
        <v>357</v>
      </c>
      <c r="AP1" s="41"/>
      <c r="AQ1" s="82" t="s">
        <v>355</v>
      </c>
      <c r="AR1" s="82" t="s">
        <v>356</v>
      </c>
      <c r="AS1" s="82" t="s">
        <v>357</v>
      </c>
      <c r="AT1" s="67"/>
      <c r="AU1" s="80" t="s">
        <v>355</v>
      </c>
      <c r="AV1" s="80" t="s">
        <v>356</v>
      </c>
      <c r="AW1" s="80" t="s">
        <v>357</v>
      </c>
      <c r="AX1" s="73"/>
      <c r="AY1" s="80" t="s">
        <v>355</v>
      </c>
      <c r="AZ1" s="80" t="s">
        <v>356</v>
      </c>
      <c r="BA1" s="80" t="s">
        <v>357</v>
      </c>
      <c r="BB1" s="73"/>
      <c r="BC1" s="80" t="s">
        <v>355</v>
      </c>
      <c r="BD1" s="80" t="s">
        <v>356</v>
      </c>
      <c r="BE1" s="80" t="s">
        <v>357</v>
      </c>
      <c r="BF1" s="73"/>
      <c r="BG1" s="80" t="s">
        <v>355</v>
      </c>
      <c r="BH1" s="80" t="s">
        <v>356</v>
      </c>
      <c r="BI1" s="80" t="s">
        <v>357</v>
      </c>
      <c r="BJ1" s="73"/>
      <c r="BK1" s="80" t="s">
        <v>355</v>
      </c>
      <c r="BL1" s="80" t="s">
        <v>356</v>
      </c>
      <c r="BM1" s="80" t="s">
        <v>357</v>
      </c>
      <c r="BN1" s="73"/>
      <c r="BO1" s="80" t="s">
        <v>355</v>
      </c>
      <c r="BP1" s="80" t="s">
        <v>356</v>
      </c>
      <c r="BQ1" s="80" t="s">
        <v>357</v>
      </c>
      <c r="BR1" s="73"/>
      <c r="BS1" s="80" t="s">
        <v>355</v>
      </c>
      <c r="BT1" s="80" t="s">
        <v>356</v>
      </c>
      <c r="BU1" s="80" t="s">
        <v>357</v>
      </c>
      <c r="BV1" s="73"/>
      <c r="BW1" s="80" t="s">
        <v>355</v>
      </c>
      <c r="BX1" s="80" t="s">
        <v>356</v>
      </c>
      <c r="BY1" s="80" t="s">
        <v>357</v>
      </c>
      <c r="BZ1" s="73"/>
      <c r="CA1" s="80" t="s">
        <v>355</v>
      </c>
      <c r="CB1" s="80" t="s">
        <v>356</v>
      </c>
      <c r="CC1" s="80" t="s">
        <v>357</v>
      </c>
      <c r="CD1" s="73"/>
      <c r="CE1" s="80" t="s">
        <v>355</v>
      </c>
      <c r="CF1" s="80" t="s">
        <v>356</v>
      </c>
      <c r="CG1" s="80" t="s">
        <v>357</v>
      </c>
      <c r="CH1" s="73"/>
      <c r="CI1" s="80" t="s">
        <v>355</v>
      </c>
      <c r="CJ1" s="80" t="s">
        <v>356</v>
      </c>
      <c r="CK1" s="80" t="s">
        <v>357</v>
      </c>
      <c r="CL1" s="73"/>
      <c r="CM1" s="80" t="s">
        <v>355</v>
      </c>
      <c r="CN1" s="80" t="s">
        <v>356</v>
      </c>
      <c r="CO1" s="80" t="s">
        <v>357</v>
      </c>
      <c r="CP1" s="73"/>
      <c r="CQ1" s="80" t="s">
        <v>355</v>
      </c>
      <c r="CR1" s="80" t="s">
        <v>356</v>
      </c>
      <c r="CS1" s="80" t="s">
        <v>357</v>
      </c>
      <c r="CT1" s="73"/>
      <c r="CU1" s="80" t="s">
        <v>355</v>
      </c>
      <c r="CV1" s="80" t="s">
        <v>356</v>
      </c>
      <c r="CW1" s="80" t="s">
        <v>357</v>
      </c>
      <c r="CX1" s="54"/>
      <c r="CY1" s="91" t="s">
        <v>355</v>
      </c>
      <c r="CZ1" s="91" t="s">
        <v>356</v>
      </c>
      <c r="DA1" s="91" t="s">
        <v>357</v>
      </c>
      <c r="DB1" s="55"/>
      <c r="DC1" s="91" t="s">
        <v>355</v>
      </c>
      <c r="DD1" s="91" t="s">
        <v>356</v>
      </c>
      <c r="DE1" s="91" t="s">
        <v>357</v>
      </c>
      <c r="DF1" s="54"/>
      <c r="DG1" s="91" t="s">
        <v>355</v>
      </c>
      <c r="DH1" s="91" t="s">
        <v>356</v>
      </c>
      <c r="DI1" s="91" t="s">
        <v>357</v>
      </c>
      <c r="DJ1" s="54"/>
      <c r="DK1" s="91" t="s">
        <v>355</v>
      </c>
      <c r="DL1" s="91" t="s">
        <v>356</v>
      </c>
      <c r="DM1" s="91" t="s">
        <v>357</v>
      </c>
      <c r="DN1" s="54"/>
      <c r="DO1" s="91" t="s">
        <v>355</v>
      </c>
      <c r="DP1" s="91" t="s">
        <v>356</v>
      </c>
      <c r="DQ1" s="91" t="s">
        <v>357</v>
      </c>
      <c r="DR1" s="54"/>
      <c r="DS1" s="91" t="s">
        <v>355</v>
      </c>
      <c r="DT1" s="91" t="s">
        <v>356</v>
      </c>
      <c r="DU1" s="91" t="s">
        <v>357</v>
      </c>
      <c r="DV1" s="54"/>
      <c r="DW1" s="91" t="s">
        <v>355</v>
      </c>
      <c r="DX1" s="91" t="s">
        <v>356</v>
      </c>
      <c r="DY1" s="91" t="s">
        <v>357</v>
      </c>
      <c r="DZ1" s="54"/>
      <c r="EA1" s="91" t="s">
        <v>355</v>
      </c>
      <c r="EB1" s="91" t="s">
        <v>356</v>
      </c>
      <c r="EC1" s="91" t="s">
        <v>357</v>
      </c>
      <c r="ED1" s="54"/>
      <c r="EE1" s="91" t="s">
        <v>355</v>
      </c>
      <c r="EF1" s="91" t="s">
        <v>356</v>
      </c>
      <c r="EG1" s="91" t="s">
        <v>357</v>
      </c>
      <c r="EH1" s="54"/>
      <c r="EI1" s="91" t="s">
        <v>355</v>
      </c>
      <c r="EJ1" s="91" t="s">
        <v>356</v>
      </c>
      <c r="EK1" s="91" t="s">
        <v>357</v>
      </c>
      <c r="EL1" s="91"/>
      <c r="EM1" s="91" t="s">
        <v>355</v>
      </c>
      <c r="EN1" s="91" t="s">
        <v>356</v>
      </c>
      <c r="EO1" s="91" t="s">
        <v>357</v>
      </c>
      <c r="EP1" s="55"/>
      <c r="EQ1" s="91" t="s">
        <v>355</v>
      </c>
      <c r="ER1" s="91" t="s">
        <v>356</v>
      </c>
      <c r="ES1" s="91" t="s">
        <v>357</v>
      </c>
      <c r="ET1" s="55"/>
      <c r="EU1" s="91" t="s">
        <v>355</v>
      </c>
      <c r="EV1" s="91" t="s">
        <v>356</v>
      </c>
      <c r="EW1" s="91" t="s">
        <v>357</v>
      </c>
      <c r="EX1" s="55"/>
      <c r="EY1" s="91" t="s">
        <v>355</v>
      </c>
      <c r="EZ1" s="91" t="s">
        <v>356</v>
      </c>
      <c r="FA1" s="91" t="s">
        <v>357</v>
      </c>
      <c r="FB1" s="54"/>
      <c r="FC1" s="91" t="s">
        <v>355</v>
      </c>
      <c r="FD1" s="91" t="s">
        <v>356</v>
      </c>
      <c r="FE1" s="91" t="s">
        <v>357</v>
      </c>
      <c r="FF1" s="54"/>
      <c r="FG1" s="91" t="s">
        <v>355</v>
      </c>
      <c r="FH1" s="91" t="s">
        <v>356</v>
      </c>
      <c r="FI1" s="91" t="s">
        <v>357</v>
      </c>
      <c r="FJ1" s="54"/>
      <c r="FK1" s="91" t="s">
        <v>355</v>
      </c>
      <c r="FL1" s="91" t="s">
        <v>356</v>
      </c>
      <c r="FM1" s="91" t="s">
        <v>357</v>
      </c>
      <c r="FN1" s="135"/>
      <c r="FO1" s="136" t="s">
        <v>355</v>
      </c>
      <c r="FP1" s="136" t="s">
        <v>356</v>
      </c>
      <c r="FQ1" s="136" t="s">
        <v>357</v>
      </c>
    </row>
    <row r="2" spans="1:173" s="4" customFormat="1" x14ac:dyDescent="0.25">
      <c r="A2" s="47" t="s">
        <v>0</v>
      </c>
      <c r="B2" s="83" t="s">
        <v>13</v>
      </c>
      <c r="C2" s="81" t="s">
        <v>13</v>
      </c>
      <c r="D2" s="81" t="s">
        <v>13</v>
      </c>
      <c r="E2" s="81" t="s">
        <v>13</v>
      </c>
      <c r="F2" s="83" t="s">
        <v>619</v>
      </c>
      <c r="G2" s="83" t="s">
        <v>619</v>
      </c>
      <c r="H2" s="83" t="s">
        <v>619</v>
      </c>
      <c r="I2" s="83" t="s">
        <v>619</v>
      </c>
      <c r="J2" s="83" t="s">
        <v>44</v>
      </c>
      <c r="K2" s="83" t="s">
        <v>44</v>
      </c>
      <c r="L2" s="83" t="s">
        <v>44</v>
      </c>
      <c r="M2" s="83" t="s">
        <v>44</v>
      </c>
      <c r="N2" s="83" t="s">
        <v>12</v>
      </c>
      <c r="O2" s="83" t="s">
        <v>12</v>
      </c>
      <c r="P2" s="83" t="s">
        <v>12</v>
      </c>
      <c r="Q2" s="83" t="s">
        <v>12</v>
      </c>
      <c r="R2" s="83" t="s">
        <v>14</v>
      </c>
      <c r="S2" s="83" t="s">
        <v>14</v>
      </c>
      <c r="T2" s="83" t="s">
        <v>14</v>
      </c>
      <c r="U2" s="83" t="s">
        <v>14</v>
      </c>
      <c r="V2" s="88" t="s">
        <v>269</v>
      </c>
      <c r="W2" s="88" t="s">
        <v>269</v>
      </c>
      <c r="X2" s="88" t="s">
        <v>269</v>
      </c>
      <c r="Y2" s="88" t="s">
        <v>269</v>
      </c>
      <c r="Z2" s="88" t="s">
        <v>656</v>
      </c>
      <c r="AA2" s="88" t="s">
        <v>656</v>
      </c>
      <c r="AB2" s="88" t="s">
        <v>656</v>
      </c>
      <c r="AC2" s="88" t="s">
        <v>656</v>
      </c>
      <c r="AD2" s="88" t="s">
        <v>270</v>
      </c>
      <c r="AE2" s="88" t="s">
        <v>270</v>
      </c>
      <c r="AF2" s="88" t="s">
        <v>270</v>
      </c>
      <c r="AG2" s="88" t="s">
        <v>270</v>
      </c>
      <c r="AH2" s="88" t="s">
        <v>271</v>
      </c>
      <c r="AI2" s="88" t="s">
        <v>271</v>
      </c>
      <c r="AJ2" s="88" t="s">
        <v>271</v>
      </c>
      <c r="AK2" s="88" t="s">
        <v>271</v>
      </c>
      <c r="AL2" s="83" t="s">
        <v>15</v>
      </c>
      <c r="AM2" s="83" t="s">
        <v>15</v>
      </c>
      <c r="AN2" s="83" t="s">
        <v>15</v>
      </c>
      <c r="AO2" s="83" t="s">
        <v>15</v>
      </c>
      <c r="AP2" s="83" t="s">
        <v>671</v>
      </c>
      <c r="AQ2" s="83" t="s">
        <v>671</v>
      </c>
      <c r="AR2" s="83" t="s">
        <v>671</v>
      </c>
      <c r="AS2" s="83" t="s">
        <v>671</v>
      </c>
      <c r="AT2" s="83" t="s">
        <v>172</v>
      </c>
      <c r="AU2" s="83" t="s">
        <v>172</v>
      </c>
      <c r="AV2" s="83" t="s">
        <v>172</v>
      </c>
      <c r="AW2" s="83" t="s">
        <v>172</v>
      </c>
      <c r="AX2" s="83" t="s">
        <v>114</v>
      </c>
      <c r="AY2" s="83" t="s">
        <v>114</v>
      </c>
      <c r="AZ2" s="83" t="s">
        <v>114</v>
      </c>
      <c r="BA2" s="83" t="s">
        <v>114</v>
      </c>
      <c r="BB2" s="83" t="s">
        <v>173</v>
      </c>
      <c r="BC2" s="83" t="s">
        <v>173</v>
      </c>
      <c r="BD2" s="83" t="s">
        <v>173</v>
      </c>
      <c r="BE2" s="83" t="s">
        <v>173</v>
      </c>
      <c r="BF2" s="83" t="s">
        <v>174</v>
      </c>
      <c r="BG2" s="83" t="s">
        <v>174</v>
      </c>
      <c r="BH2" s="83" t="s">
        <v>174</v>
      </c>
      <c r="BI2" s="83" t="s">
        <v>174</v>
      </c>
      <c r="BJ2" s="83" t="s">
        <v>547</v>
      </c>
      <c r="BK2" s="83" t="s">
        <v>547</v>
      </c>
      <c r="BL2" s="83" t="s">
        <v>547</v>
      </c>
      <c r="BM2" s="83" t="s">
        <v>547</v>
      </c>
      <c r="BN2" s="83" t="s">
        <v>167</v>
      </c>
      <c r="BO2" s="83" t="s">
        <v>167</v>
      </c>
      <c r="BP2" s="83" t="s">
        <v>167</v>
      </c>
      <c r="BQ2" s="83" t="s">
        <v>167</v>
      </c>
      <c r="BR2" s="83" t="s">
        <v>628</v>
      </c>
      <c r="BS2" s="83" t="s">
        <v>628</v>
      </c>
      <c r="BT2" s="83" t="s">
        <v>628</v>
      </c>
      <c r="BU2" s="83" t="s">
        <v>628</v>
      </c>
      <c r="BV2" s="83" t="s">
        <v>168</v>
      </c>
      <c r="BW2" s="83" t="s">
        <v>168</v>
      </c>
      <c r="BX2" s="83" t="s">
        <v>168</v>
      </c>
      <c r="BY2" s="83" t="s">
        <v>168</v>
      </c>
      <c r="BZ2" s="83" t="s">
        <v>170</v>
      </c>
      <c r="CA2" s="83" t="s">
        <v>170</v>
      </c>
      <c r="CB2" s="83" t="s">
        <v>170</v>
      </c>
      <c r="CC2" s="83" t="s">
        <v>170</v>
      </c>
      <c r="CD2" s="83" t="s">
        <v>175</v>
      </c>
      <c r="CE2" s="83" t="s">
        <v>175</v>
      </c>
      <c r="CF2" s="83" t="s">
        <v>175</v>
      </c>
      <c r="CG2" s="83" t="s">
        <v>175</v>
      </c>
      <c r="CH2" s="83" t="s">
        <v>548</v>
      </c>
      <c r="CI2" s="83" t="s">
        <v>548</v>
      </c>
      <c r="CJ2" s="83" t="s">
        <v>548</v>
      </c>
      <c r="CK2" s="83" t="s">
        <v>548</v>
      </c>
      <c r="CL2" s="83" t="s">
        <v>133</v>
      </c>
      <c r="CM2" s="83" t="s">
        <v>133</v>
      </c>
      <c r="CN2" s="83" t="s">
        <v>133</v>
      </c>
      <c r="CO2" s="83" t="s">
        <v>133</v>
      </c>
      <c r="CP2" s="83" t="s">
        <v>176</v>
      </c>
      <c r="CQ2" s="83" t="s">
        <v>176</v>
      </c>
      <c r="CR2" s="83" t="s">
        <v>176</v>
      </c>
      <c r="CS2" s="83" t="s">
        <v>176</v>
      </c>
      <c r="CT2" s="83" t="s">
        <v>165</v>
      </c>
      <c r="CU2" s="83" t="s">
        <v>165</v>
      </c>
      <c r="CV2" s="83" t="s">
        <v>165</v>
      </c>
      <c r="CW2" s="83" t="s">
        <v>165</v>
      </c>
      <c r="CX2" s="83" t="s">
        <v>191</v>
      </c>
      <c r="CY2" s="83" t="s">
        <v>191</v>
      </c>
      <c r="CZ2" s="83" t="s">
        <v>191</v>
      </c>
      <c r="DA2" s="83" t="s">
        <v>191</v>
      </c>
      <c r="DB2" s="83" t="s">
        <v>51</v>
      </c>
      <c r="DC2" s="83" t="s">
        <v>51</v>
      </c>
      <c r="DD2" s="83" t="s">
        <v>51</v>
      </c>
      <c r="DE2" s="83" t="s">
        <v>51</v>
      </c>
      <c r="DF2" s="83" t="s">
        <v>698</v>
      </c>
      <c r="DG2" s="83" t="s">
        <v>698</v>
      </c>
      <c r="DH2" s="83" t="s">
        <v>698</v>
      </c>
      <c r="DI2" s="83" t="s">
        <v>698</v>
      </c>
      <c r="DJ2" s="83" t="s">
        <v>52</v>
      </c>
      <c r="DK2" s="83" t="s">
        <v>52</v>
      </c>
      <c r="DL2" s="83" t="s">
        <v>52</v>
      </c>
      <c r="DM2" s="83" t="s">
        <v>52</v>
      </c>
      <c r="DN2" s="83" t="s">
        <v>192</v>
      </c>
      <c r="DO2" s="83" t="s">
        <v>192</v>
      </c>
      <c r="DP2" s="83" t="s">
        <v>192</v>
      </c>
      <c r="DQ2" s="83" t="s">
        <v>192</v>
      </c>
      <c r="DR2" s="83" t="s">
        <v>45</v>
      </c>
      <c r="DS2" s="83" t="s">
        <v>45</v>
      </c>
      <c r="DT2" s="83" t="s">
        <v>45</v>
      </c>
      <c r="DU2" s="83" t="s">
        <v>45</v>
      </c>
      <c r="DV2" s="83" t="s">
        <v>727</v>
      </c>
      <c r="DW2" s="83" t="s">
        <v>727</v>
      </c>
      <c r="DX2" s="83" t="s">
        <v>727</v>
      </c>
      <c r="DY2" s="83" t="s">
        <v>727</v>
      </c>
      <c r="DZ2" s="83" t="s">
        <v>46</v>
      </c>
      <c r="EA2" s="83" t="s">
        <v>46</v>
      </c>
      <c r="EB2" s="83" t="s">
        <v>46</v>
      </c>
      <c r="EC2" s="83" t="s">
        <v>46</v>
      </c>
      <c r="ED2" s="83" t="s">
        <v>47</v>
      </c>
      <c r="EE2" s="83" t="s">
        <v>47</v>
      </c>
      <c r="EF2" s="83" t="s">
        <v>47</v>
      </c>
      <c r="EG2" s="83" t="s">
        <v>47</v>
      </c>
      <c r="EH2" s="83" t="s">
        <v>48</v>
      </c>
      <c r="EI2" s="83" t="s">
        <v>48</v>
      </c>
      <c r="EJ2" s="83" t="s">
        <v>48</v>
      </c>
      <c r="EK2" s="83" t="s">
        <v>48</v>
      </c>
      <c r="EL2" s="83" t="s">
        <v>745</v>
      </c>
      <c r="EM2" s="83" t="s">
        <v>740</v>
      </c>
      <c r="EN2" s="83" t="s">
        <v>740</v>
      </c>
      <c r="EO2" s="83" t="s">
        <v>740</v>
      </c>
      <c r="EP2" s="83" t="s">
        <v>716</v>
      </c>
      <c r="EQ2" s="83" t="s">
        <v>716</v>
      </c>
      <c r="ER2" s="83" t="s">
        <v>716</v>
      </c>
      <c r="ES2" s="83" t="s">
        <v>716</v>
      </c>
      <c r="ET2" s="83" t="s">
        <v>193</v>
      </c>
      <c r="EU2" s="83" t="s">
        <v>193</v>
      </c>
      <c r="EV2" s="83" t="s">
        <v>193</v>
      </c>
      <c r="EW2" s="83" t="s">
        <v>193</v>
      </c>
      <c r="EX2" s="83" t="s">
        <v>194</v>
      </c>
      <c r="EY2" s="83" t="s">
        <v>194</v>
      </c>
      <c r="EZ2" s="83" t="s">
        <v>194</v>
      </c>
      <c r="FA2" s="83" t="s">
        <v>194</v>
      </c>
      <c r="FB2" s="83" t="s">
        <v>49</v>
      </c>
      <c r="FC2" s="83" t="s">
        <v>49</v>
      </c>
      <c r="FD2" s="83" t="s">
        <v>49</v>
      </c>
      <c r="FE2" s="83" t="s">
        <v>49</v>
      </c>
      <c r="FF2" s="83" t="s">
        <v>63</v>
      </c>
      <c r="FG2" s="83" t="s">
        <v>63</v>
      </c>
      <c r="FH2" s="83" t="s">
        <v>63</v>
      </c>
      <c r="FI2" s="83" t="s">
        <v>63</v>
      </c>
      <c r="FJ2" s="83" t="s">
        <v>50</v>
      </c>
      <c r="FK2" s="83" t="s">
        <v>50</v>
      </c>
      <c r="FL2" s="83" t="s">
        <v>50</v>
      </c>
      <c r="FM2" s="83" t="s">
        <v>50</v>
      </c>
      <c r="FN2" s="83" t="s">
        <v>658</v>
      </c>
      <c r="FO2" s="83" t="s">
        <v>658</v>
      </c>
      <c r="FP2" s="83" t="s">
        <v>658</v>
      </c>
      <c r="FQ2" s="83" t="s">
        <v>658</v>
      </c>
    </row>
    <row r="3" spans="1:173" s="3" customFormat="1" x14ac:dyDescent="0.25">
      <c r="A3" s="48" t="s">
        <v>334</v>
      </c>
      <c r="B3" s="45"/>
      <c r="C3" s="90" t="s">
        <v>355</v>
      </c>
      <c r="D3" s="90" t="s">
        <v>356</v>
      </c>
      <c r="E3" s="90" t="s">
        <v>357</v>
      </c>
      <c r="F3" s="45"/>
      <c r="G3" s="90" t="s">
        <v>355</v>
      </c>
      <c r="H3" s="90" t="s">
        <v>356</v>
      </c>
      <c r="I3" s="90" t="s">
        <v>357</v>
      </c>
      <c r="J3" s="43"/>
      <c r="K3" s="90" t="s">
        <v>355</v>
      </c>
      <c r="L3" s="90" t="s">
        <v>356</v>
      </c>
      <c r="M3" s="90" t="s">
        <v>357</v>
      </c>
      <c r="N3" s="45"/>
      <c r="O3" s="90" t="s">
        <v>355</v>
      </c>
      <c r="P3" s="90" t="s">
        <v>356</v>
      </c>
      <c r="Q3" s="90" t="s">
        <v>357</v>
      </c>
      <c r="R3" s="45"/>
      <c r="S3" s="90" t="s">
        <v>355</v>
      </c>
      <c r="T3" s="90" t="s">
        <v>356</v>
      </c>
      <c r="U3" s="90" t="s">
        <v>357</v>
      </c>
      <c r="V3" s="45"/>
      <c r="W3" s="90" t="s">
        <v>355</v>
      </c>
      <c r="X3" s="90" t="s">
        <v>356</v>
      </c>
      <c r="Y3" s="90" t="s">
        <v>357</v>
      </c>
      <c r="Z3" s="45"/>
      <c r="AA3" s="90" t="s">
        <v>355</v>
      </c>
      <c r="AB3" s="90" t="s">
        <v>356</v>
      </c>
      <c r="AC3" s="90" t="s">
        <v>357</v>
      </c>
      <c r="AD3" s="45"/>
      <c r="AE3" s="90" t="s">
        <v>355</v>
      </c>
      <c r="AF3" s="90" t="s">
        <v>356</v>
      </c>
      <c r="AG3" s="90" t="s">
        <v>357</v>
      </c>
      <c r="AH3" s="45"/>
      <c r="AI3" s="90" t="s">
        <v>355</v>
      </c>
      <c r="AJ3" s="90" t="s">
        <v>356</v>
      </c>
      <c r="AK3" s="90" t="s">
        <v>357</v>
      </c>
      <c r="AL3" s="45"/>
      <c r="AM3" s="90" t="s">
        <v>355</v>
      </c>
      <c r="AN3" s="90" t="s">
        <v>356</v>
      </c>
      <c r="AO3" s="90" t="s">
        <v>357</v>
      </c>
      <c r="AP3" s="45"/>
      <c r="AQ3" s="90" t="s">
        <v>355</v>
      </c>
      <c r="AR3" s="90" t="s">
        <v>356</v>
      </c>
      <c r="AS3" s="90" t="s">
        <v>357</v>
      </c>
      <c r="AT3" s="68"/>
      <c r="AU3" s="79" t="s">
        <v>355</v>
      </c>
      <c r="AV3" s="79" t="s">
        <v>356</v>
      </c>
      <c r="AW3" s="79" t="s">
        <v>357</v>
      </c>
      <c r="AX3" s="68"/>
      <c r="AY3" s="79" t="s">
        <v>355</v>
      </c>
      <c r="AZ3" s="79" t="s">
        <v>356</v>
      </c>
      <c r="BA3" s="79" t="s">
        <v>357</v>
      </c>
      <c r="BB3" s="74"/>
      <c r="BC3" s="79" t="s">
        <v>355</v>
      </c>
      <c r="BD3" s="79" t="s">
        <v>356</v>
      </c>
      <c r="BE3" s="79" t="s">
        <v>357</v>
      </c>
      <c r="BF3" s="74"/>
      <c r="BG3" s="79" t="s">
        <v>355</v>
      </c>
      <c r="BH3" s="79" t="s">
        <v>356</v>
      </c>
      <c r="BI3" s="79" t="s">
        <v>357</v>
      </c>
      <c r="BJ3" s="78"/>
      <c r="BK3" s="79" t="s">
        <v>355</v>
      </c>
      <c r="BL3" s="79" t="s">
        <v>356</v>
      </c>
      <c r="BM3" s="79" t="s">
        <v>357</v>
      </c>
      <c r="BN3" s="78"/>
      <c r="BO3" s="79" t="s">
        <v>355</v>
      </c>
      <c r="BP3" s="79" t="s">
        <v>356</v>
      </c>
      <c r="BQ3" s="79" t="s">
        <v>357</v>
      </c>
      <c r="BR3" s="68"/>
      <c r="BS3" s="79" t="s">
        <v>355</v>
      </c>
      <c r="BT3" s="79" t="s">
        <v>356</v>
      </c>
      <c r="BU3" s="79" t="s">
        <v>357</v>
      </c>
      <c r="BV3" s="68"/>
      <c r="BW3" s="79" t="s">
        <v>355</v>
      </c>
      <c r="BX3" s="79" t="s">
        <v>356</v>
      </c>
      <c r="BY3" s="79" t="s">
        <v>357</v>
      </c>
      <c r="BZ3" s="68"/>
      <c r="CA3" s="79" t="s">
        <v>355</v>
      </c>
      <c r="CB3" s="79" t="s">
        <v>356</v>
      </c>
      <c r="CC3" s="79" t="s">
        <v>357</v>
      </c>
      <c r="CD3" s="78"/>
      <c r="CE3" s="79" t="s">
        <v>355</v>
      </c>
      <c r="CF3" s="79" t="s">
        <v>356</v>
      </c>
      <c r="CG3" s="79" t="s">
        <v>357</v>
      </c>
      <c r="CH3" s="78"/>
      <c r="CI3" s="79" t="s">
        <v>355</v>
      </c>
      <c r="CJ3" s="79" t="s">
        <v>356</v>
      </c>
      <c r="CK3" s="79" t="s">
        <v>357</v>
      </c>
      <c r="CL3" s="78"/>
      <c r="CM3" s="79" t="s">
        <v>355</v>
      </c>
      <c r="CN3" s="79" t="s">
        <v>356</v>
      </c>
      <c r="CO3" s="79" t="s">
        <v>357</v>
      </c>
      <c r="CP3" s="78"/>
      <c r="CQ3" s="79" t="s">
        <v>355</v>
      </c>
      <c r="CR3" s="79" t="s">
        <v>356</v>
      </c>
      <c r="CS3" s="79" t="s">
        <v>357</v>
      </c>
      <c r="CT3" s="78"/>
      <c r="CU3" s="79" t="s">
        <v>355</v>
      </c>
      <c r="CV3" s="79" t="s">
        <v>356</v>
      </c>
      <c r="CW3" s="79" t="s">
        <v>357</v>
      </c>
      <c r="CX3" s="56"/>
      <c r="CY3" s="92" t="s">
        <v>355</v>
      </c>
      <c r="CZ3" s="92" t="s">
        <v>356</v>
      </c>
      <c r="DA3" s="92" t="s">
        <v>357</v>
      </c>
      <c r="DB3" s="44"/>
      <c r="DC3" s="92" t="s">
        <v>355</v>
      </c>
      <c r="DD3" s="92" t="s">
        <v>356</v>
      </c>
      <c r="DE3" s="92" t="s">
        <v>357</v>
      </c>
      <c r="DF3" s="44"/>
      <c r="DG3" s="92" t="s">
        <v>355</v>
      </c>
      <c r="DH3" s="92" t="s">
        <v>356</v>
      </c>
      <c r="DI3" s="92" t="s">
        <v>357</v>
      </c>
      <c r="DJ3" s="44"/>
      <c r="DK3" s="92" t="s">
        <v>355</v>
      </c>
      <c r="DL3" s="92" t="s">
        <v>356</v>
      </c>
      <c r="DM3" s="92" t="s">
        <v>357</v>
      </c>
      <c r="DN3" s="44"/>
      <c r="DO3" s="92" t="s">
        <v>355</v>
      </c>
      <c r="DP3" s="92" t="s">
        <v>356</v>
      </c>
      <c r="DQ3" s="92" t="s">
        <v>357</v>
      </c>
      <c r="DR3" s="44"/>
      <c r="DS3" s="92" t="s">
        <v>355</v>
      </c>
      <c r="DT3" s="92" t="s">
        <v>356</v>
      </c>
      <c r="DU3" s="92" t="s">
        <v>357</v>
      </c>
      <c r="DV3" s="44"/>
      <c r="DW3" s="92" t="s">
        <v>355</v>
      </c>
      <c r="DX3" s="92" t="s">
        <v>356</v>
      </c>
      <c r="DY3" s="92" t="s">
        <v>357</v>
      </c>
      <c r="DZ3" s="44"/>
      <c r="EA3" s="92" t="s">
        <v>355</v>
      </c>
      <c r="EB3" s="92" t="s">
        <v>356</v>
      </c>
      <c r="EC3" s="92" t="s">
        <v>357</v>
      </c>
      <c r="ED3" s="44"/>
      <c r="EE3" s="92" t="s">
        <v>355</v>
      </c>
      <c r="EF3" s="92" t="s">
        <v>356</v>
      </c>
      <c r="EG3" s="92" t="s">
        <v>357</v>
      </c>
      <c r="EH3" s="44"/>
      <c r="EI3" s="92" t="s">
        <v>355</v>
      </c>
      <c r="EJ3" s="92" t="s">
        <v>356</v>
      </c>
      <c r="EK3" s="92" t="s">
        <v>357</v>
      </c>
      <c r="EL3" s="92"/>
      <c r="EM3" s="92" t="s">
        <v>355</v>
      </c>
      <c r="EN3" s="92" t="s">
        <v>356</v>
      </c>
      <c r="EO3" s="92" t="s">
        <v>357</v>
      </c>
      <c r="EP3" s="44"/>
      <c r="EQ3" s="92" t="s">
        <v>355</v>
      </c>
      <c r="ER3" s="92" t="s">
        <v>356</v>
      </c>
      <c r="ES3" s="92" t="s">
        <v>357</v>
      </c>
      <c r="ET3" s="44"/>
      <c r="EU3" s="92" t="s">
        <v>355</v>
      </c>
      <c r="EV3" s="92" t="s">
        <v>356</v>
      </c>
      <c r="EW3" s="92" t="s">
        <v>357</v>
      </c>
      <c r="EX3" s="44"/>
      <c r="EY3" s="92" t="s">
        <v>355</v>
      </c>
      <c r="EZ3" s="92" t="s">
        <v>356</v>
      </c>
      <c r="FA3" s="92" t="s">
        <v>357</v>
      </c>
      <c r="FB3" s="44"/>
      <c r="FC3" s="92" t="s">
        <v>355</v>
      </c>
      <c r="FD3" s="92" t="s">
        <v>356</v>
      </c>
      <c r="FE3" s="92" t="s">
        <v>357</v>
      </c>
      <c r="FF3" s="44"/>
      <c r="FG3" s="92" t="s">
        <v>355</v>
      </c>
      <c r="FH3" s="92" t="s">
        <v>356</v>
      </c>
      <c r="FI3" s="92" t="s">
        <v>357</v>
      </c>
      <c r="FJ3" s="44"/>
      <c r="FK3" s="92" t="s">
        <v>355</v>
      </c>
      <c r="FL3" s="92" t="s">
        <v>356</v>
      </c>
      <c r="FM3" s="92" t="s">
        <v>357</v>
      </c>
      <c r="FN3" s="44"/>
      <c r="FO3" s="92" t="s">
        <v>355</v>
      </c>
      <c r="FP3" s="92" t="s">
        <v>356</v>
      </c>
      <c r="FQ3" s="92" t="s">
        <v>357</v>
      </c>
    </row>
    <row r="4" spans="1:173" s="4" customFormat="1" x14ac:dyDescent="0.25">
      <c r="A4" s="49" t="s">
        <v>1</v>
      </c>
      <c r="B4" s="89" t="s">
        <v>16</v>
      </c>
      <c r="C4" s="89"/>
      <c r="D4" s="89"/>
      <c r="E4" s="89"/>
      <c r="F4" s="89" t="s">
        <v>16</v>
      </c>
      <c r="G4" s="89"/>
      <c r="H4" s="89"/>
      <c r="I4" s="89"/>
      <c r="J4" s="86" t="s">
        <v>16</v>
      </c>
      <c r="K4" s="89"/>
      <c r="L4" s="89"/>
      <c r="M4" s="89"/>
      <c r="N4" s="86" t="s">
        <v>16</v>
      </c>
      <c r="O4" s="89"/>
      <c r="P4" s="89"/>
      <c r="Q4" s="89"/>
      <c r="R4" s="86" t="s">
        <v>23</v>
      </c>
      <c r="S4" s="89"/>
      <c r="T4" s="89"/>
      <c r="U4" s="89"/>
      <c r="V4" s="86" t="s">
        <v>23</v>
      </c>
      <c r="W4" s="89"/>
      <c r="X4" s="89"/>
      <c r="Y4" s="89"/>
      <c r="Z4" s="86" t="s">
        <v>23</v>
      </c>
      <c r="AA4" s="89"/>
      <c r="AB4" s="89"/>
      <c r="AC4" s="89"/>
      <c r="AD4" s="86" t="s">
        <v>23</v>
      </c>
      <c r="AE4" s="89"/>
      <c r="AF4" s="89"/>
      <c r="AG4" s="89"/>
      <c r="AH4" s="86" t="s">
        <v>23</v>
      </c>
      <c r="AI4" s="89"/>
      <c r="AJ4" s="89"/>
      <c r="AK4" s="89"/>
      <c r="AL4" s="86" t="s">
        <v>17</v>
      </c>
      <c r="AM4" s="89"/>
      <c r="AN4" s="89"/>
      <c r="AO4" s="89"/>
      <c r="AP4" s="86" t="s">
        <v>17</v>
      </c>
      <c r="AQ4" s="89"/>
      <c r="AR4" s="89"/>
      <c r="AS4" s="89" t="s">
        <v>672</v>
      </c>
      <c r="AT4" s="75" t="s">
        <v>17</v>
      </c>
      <c r="AU4" s="75"/>
      <c r="AV4" s="75"/>
      <c r="AW4" s="75"/>
      <c r="AX4" s="75" t="s">
        <v>17</v>
      </c>
      <c r="AY4" s="75"/>
      <c r="AZ4" s="75"/>
      <c r="BA4" s="75"/>
      <c r="BB4" s="75" t="s">
        <v>17</v>
      </c>
      <c r="BC4" s="75"/>
      <c r="BD4" s="75"/>
      <c r="BE4" s="75"/>
      <c r="BF4" s="75" t="s">
        <v>17</v>
      </c>
      <c r="BG4" s="75"/>
      <c r="BH4" s="75"/>
      <c r="BI4" s="75"/>
      <c r="BJ4" s="75" t="s">
        <v>17</v>
      </c>
      <c r="BK4" s="75"/>
      <c r="BL4" s="75"/>
      <c r="BM4" s="75"/>
      <c r="BN4" s="75" t="s">
        <v>17</v>
      </c>
      <c r="BO4" s="75"/>
      <c r="BP4" s="75"/>
      <c r="BQ4" s="75"/>
      <c r="BR4" s="75" t="s">
        <v>17</v>
      </c>
      <c r="BS4" s="75"/>
      <c r="BT4" s="75"/>
      <c r="BU4" s="75"/>
      <c r="BV4" s="75" t="s">
        <v>17</v>
      </c>
      <c r="BW4" s="75"/>
      <c r="BX4" s="75"/>
      <c r="BY4" s="75"/>
      <c r="BZ4" s="75" t="s">
        <v>17</v>
      </c>
      <c r="CA4" s="75"/>
      <c r="CB4" s="75"/>
      <c r="CC4" s="75"/>
      <c r="CD4" s="75" t="s">
        <v>17</v>
      </c>
      <c r="CE4" s="75"/>
      <c r="CF4" s="75"/>
      <c r="CG4" s="75"/>
      <c r="CH4" s="75" t="s">
        <v>17</v>
      </c>
      <c r="CI4" s="75"/>
      <c r="CJ4" s="75"/>
      <c r="CK4" s="75"/>
      <c r="CL4" s="75" t="s">
        <v>17</v>
      </c>
      <c r="CM4" s="75"/>
      <c r="CN4" s="75"/>
      <c r="CO4" s="75"/>
      <c r="CP4" s="75" t="s">
        <v>17</v>
      </c>
      <c r="CQ4" s="75"/>
      <c r="CR4" s="75"/>
      <c r="CS4" s="75"/>
      <c r="CT4" s="75" t="s">
        <v>17</v>
      </c>
      <c r="CU4" s="75"/>
      <c r="CV4" s="75"/>
      <c r="CW4" s="75"/>
      <c r="CX4" s="94" t="s">
        <v>17</v>
      </c>
      <c r="CY4" s="94"/>
      <c r="CZ4" s="94"/>
      <c r="DA4" s="94"/>
      <c r="DB4" s="94" t="s">
        <v>16</v>
      </c>
      <c r="DC4" s="94"/>
      <c r="DD4" s="94"/>
      <c r="DE4" s="94"/>
      <c r="DF4" s="94" t="s">
        <v>17</v>
      </c>
      <c r="DG4" s="94"/>
      <c r="DH4" s="94"/>
      <c r="DI4" s="94"/>
      <c r="DJ4" s="94" t="s">
        <v>17</v>
      </c>
      <c r="DK4" s="94"/>
      <c r="DL4" s="94"/>
      <c r="DM4" s="94"/>
      <c r="DN4" s="94" t="s">
        <v>17</v>
      </c>
      <c r="DO4" s="94"/>
      <c r="DP4" s="94"/>
      <c r="DQ4" s="94"/>
      <c r="DR4" s="94" t="s">
        <v>17</v>
      </c>
      <c r="DS4" s="94"/>
      <c r="DT4" s="94"/>
      <c r="DU4" s="94"/>
      <c r="DV4" s="94" t="s">
        <v>17</v>
      </c>
      <c r="DW4" s="94"/>
      <c r="DX4" s="94"/>
      <c r="DY4" s="94"/>
      <c r="DZ4" s="94" t="s">
        <v>17</v>
      </c>
      <c r="EA4" s="94"/>
      <c r="EB4" s="94"/>
      <c r="EC4" s="94"/>
      <c r="ED4" s="94" t="s">
        <v>17</v>
      </c>
      <c r="EE4" s="94"/>
      <c r="EF4" s="94"/>
      <c r="EG4" s="94"/>
      <c r="EH4" s="94" t="s">
        <v>17</v>
      </c>
      <c r="EI4" s="94"/>
      <c r="EJ4" s="94"/>
      <c r="EK4" s="94"/>
      <c r="EL4" s="94" t="s">
        <v>17</v>
      </c>
      <c r="EM4" s="94"/>
      <c r="EN4" s="94"/>
      <c r="EO4" s="94"/>
      <c r="EP4" s="94" t="s">
        <v>17</v>
      </c>
      <c r="EQ4" s="94"/>
      <c r="ER4" s="94"/>
      <c r="ES4" s="94"/>
      <c r="ET4" s="94" t="s">
        <v>17</v>
      </c>
      <c r="EU4" s="94"/>
      <c r="EV4" s="94"/>
      <c r="EW4" s="94"/>
      <c r="EX4" s="94" t="s">
        <v>17</v>
      </c>
      <c r="EY4" s="94"/>
      <c r="EZ4" s="94"/>
      <c r="FA4" s="94"/>
      <c r="FB4" s="94" t="s">
        <v>17</v>
      </c>
      <c r="FC4" s="94"/>
      <c r="FD4" s="94"/>
      <c r="FE4" s="94"/>
      <c r="FF4" s="94" t="s">
        <v>17</v>
      </c>
      <c r="FG4" s="94"/>
      <c r="FH4" s="94"/>
      <c r="FI4" s="94"/>
      <c r="FJ4" s="94" t="s">
        <v>17</v>
      </c>
      <c r="FK4" s="94"/>
      <c r="FL4" s="94"/>
      <c r="FM4" s="94"/>
      <c r="FN4" s="137" t="s">
        <v>621</v>
      </c>
      <c r="FO4" s="137"/>
      <c r="FP4" s="137"/>
      <c r="FQ4" s="137"/>
    </row>
    <row r="5" spans="1:173" s="4" customFormat="1" x14ac:dyDescent="0.25">
      <c r="A5" s="49" t="s">
        <v>10</v>
      </c>
      <c r="B5" s="89" t="s">
        <v>279</v>
      </c>
      <c r="C5" s="89"/>
      <c r="D5" s="89"/>
      <c r="E5" s="89"/>
      <c r="F5" s="89" t="s">
        <v>649</v>
      </c>
      <c r="G5" s="89"/>
      <c r="H5" s="89"/>
      <c r="I5" s="89" t="s">
        <v>651</v>
      </c>
      <c r="J5" s="86" t="s">
        <v>280</v>
      </c>
      <c r="K5" s="89"/>
      <c r="L5" s="89"/>
      <c r="M5" s="89"/>
      <c r="N5" s="86" t="s">
        <v>281</v>
      </c>
      <c r="O5" s="89"/>
      <c r="P5" s="89"/>
      <c r="Q5" s="89"/>
      <c r="R5" s="86"/>
      <c r="S5" s="89"/>
      <c r="T5" s="89"/>
      <c r="U5" s="89"/>
      <c r="V5" s="86"/>
      <c r="W5" s="89"/>
      <c r="X5" s="89"/>
      <c r="Y5" s="89"/>
      <c r="Z5" s="86"/>
      <c r="AA5" s="89"/>
      <c r="AB5" s="89"/>
      <c r="AC5" s="89"/>
      <c r="AD5" s="86"/>
      <c r="AE5" s="89"/>
      <c r="AF5" s="89"/>
      <c r="AG5" s="89"/>
      <c r="AH5" s="86"/>
      <c r="AI5" s="89"/>
      <c r="AJ5" s="89"/>
      <c r="AK5" s="89"/>
      <c r="AL5" s="86"/>
      <c r="AM5" s="89"/>
      <c r="AN5" s="89"/>
      <c r="AO5" s="89"/>
      <c r="AP5" s="86"/>
      <c r="AQ5" s="89"/>
      <c r="AR5" s="89"/>
      <c r="AS5" s="89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  <c r="BW5" s="75"/>
      <c r="BX5" s="75"/>
      <c r="BY5" s="75"/>
      <c r="BZ5" s="75"/>
      <c r="CA5" s="75"/>
      <c r="CB5" s="75"/>
      <c r="CC5" s="75"/>
      <c r="CD5" s="75"/>
      <c r="CE5" s="75"/>
      <c r="CF5" s="75"/>
      <c r="CG5" s="75"/>
      <c r="CH5" s="75"/>
      <c r="CI5" s="75"/>
      <c r="CJ5" s="75"/>
      <c r="CK5" s="75"/>
      <c r="CL5" s="75"/>
      <c r="CM5" s="75"/>
      <c r="CN5" s="75"/>
      <c r="CO5" s="75"/>
      <c r="CP5" s="75" t="s">
        <v>184</v>
      </c>
      <c r="CQ5" s="75"/>
      <c r="CR5" s="75"/>
      <c r="CS5" s="75"/>
      <c r="CT5" s="75"/>
      <c r="CU5" s="75"/>
      <c r="CV5" s="75"/>
      <c r="CW5" s="75"/>
      <c r="CX5" s="94" t="s">
        <v>128</v>
      </c>
      <c r="CY5" s="94"/>
      <c r="CZ5" s="94"/>
      <c r="DA5" s="94"/>
      <c r="DB5" s="94" t="s">
        <v>67</v>
      </c>
      <c r="DC5" s="94"/>
      <c r="DD5" s="94"/>
      <c r="DE5" s="94"/>
      <c r="DF5" s="94"/>
      <c r="DG5" s="94"/>
      <c r="DH5" s="94"/>
      <c r="DI5" s="94"/>
      <c r="DJ5" s="94"/>
      <c r="DK5" s="94"/>
      <c r="DL5" s="94"/>
      <c r="DM5" s="94"/>
      <c r="DN5" s="94"/>
      <c r="DO5" s="94"/>
      <c r="DP5" s="94"/>
      <c r="DQ5" s="94"/>
      <c r="DR5" s="94"/>
      <c r="DS5" s="94"/>
      <c r="DT5" s="94"/>
      <c r="DU5" s="94"/>
      <c r="DV5" s="94"/>
      <c r="DW5" s="94"/>
      <c r="DX5" s="94"/>
      <c r="DY5" s="94"/>
      <c r="DZ5" s="94"/>
      <c r="EA5" s="94"/>
      <c r="EB5" s="94"/>
      <c r="EC5" s="94"/>
      <c r="ED5" s="94"/>
      <c r="EE5" s="94"/>
      <c r="EF5" s="94"/>
      <c r="EG5" s="94"/>
      <c r="EH5" s="94"/>
      <c r="EI5" s="94"/>
      <c r="EJ5" s="94"/>
      <c r="EK5" s="94"/>
      <c r="EL5" s="94"/>
      <c r="EM5" s="94"/>
      <c r="EN5" s="94"/>
      <c r="EO5" s="94"/>
      <c r="EP5" s="94"/>
      <c r="EQ5" s="94"/>
      <c r="ER5" s="94"/>
      <c r="ES5" s="94"/>
      <c r="ET5" s="94"/>
      <c r="EU5" s="94"/>
      <c r="EV5" s="94"/>
      <c r="EW5" s="94"/>
      <c r="EX5" s="94"/>
      <c r="EY5" s="94"/>
      <c r="EZ5" s="94"/>
      <c r="FA5" s="94"/>
      <c r="FB5" s="94"/>
      <c r="FC5" s="94"/>
      <c r="FD5" s="94"/>
      <c r="FE5" s="94"/>
      <c r="FF5" s="94"/>
      <c r="FG5" s="94"/>
      <c r="FH5" s="94"/>
      <c r="FI5" s="94"/>
      <c r="FJ5" s="94"/>
      <c r="FK5" s="94"/>
      <c r="FL5" s="94"/>
      <c r="FM5" s="94"/>
      <c r="FN5" s="137"/>
      <c r="FO5" s="137"/>
      <c r="FP5" s="137"/>
      <c r="FQ5" s="137"/>
    </row>
    <row r="6" spans="1:173" s="4" customFormat="1" x14ac:dyDescent="0.25">
      <c r="A6" s="49" t="s">
        <v>544</v>
      </c>
      <c r="B6" s="89"/>
      <c r="C6" s="89"/>
      <c r="D6" s="89"/>
      <c r="E6" s="89"/>
      <c r="F6" s="89"/>
      <c r="G6" s="89"/>
      <c r="H6" s="89"/>
      <c r="I6" s="89"/>
      <c r="J6" s="86"/>
      <c r="K6" s="89"/>
      <c r="L6" s="89"/>
      <c r="M6" s="89"/>
      <c r="N6" s="86"/>
      <c r="O6" s="89"/>
      <c r="P6" s="89"/>
      <c r="Q6" s="89"/>
      <c r="R6" s="86"/>
      <c r="S6" s="89"/>
      <c r="T6" s="89"/>
      <c r="U6" s="89"/>
      <c r="V6" s="86"/>
      <c r="W6" s="89"/>
      <c r="X6" s="89"/>
      <c r="Y6" s="89"/>
      <c r="Z6" s="86"/>
      <c r="AA6" s="89"/>
      <c r="AB6" s="89"/>
      <c r="AC6" s="89"/>
      <c r="AD6" s="86"/>
      <c r="AE6" s="89"/>
      <c r="AF6" s="89"/>
      <c r="AG6" s="89"/>
      <c r="AH6" s="86"/>
      <c r="AI6" s="89"/>
      <c r="AJ6" s="89"/>
      <c r="AK6" s="89"/>
      <c r="AL6" s="86"/>
      <c r="AM6" s="89"/>
      <c r="AN6" s="89"/>
      <c r="AO6" s="89"/>
      <c r="AP6" s="86"/>
      <c r="AQ6" s="89"/>
      <c r="AR6" s="89"/>
      <c r="AS6" s="89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 t="s">
        <v>546</v>
      </c>
      <c r="BW6" s="75"/>
      <c r="BX6" s="75"/>
      <c r="BY6" s="75"/>
      <c r="BZ6" s="75"/>
      <c r="CA6" s="75"/>
      <c r="CB6" s="75"/>
      <c r="CC6" s="75"/>
      <c r="CD6" s="75"/>
      <c r="CE6" s="75"/>
      <c r="CF6" s="75"/>
      <c r="CG6" s="75"/>
      <c r="CH6" s="75"/>
      <c r="CI6" s="75"/>
      <c r="CJ6" s="75"/>
      <c r="CK6" s="75"/>
      <c r="CL6" s="75"/>
      <c r="CM6" s="75"/>
      <c r="CN6" s="75"/>
      <c r="CO6" s="75"/>
      <c r="CP6" s="75"/>
      <c r="CQ6" s="75"/>
      <c r="CR6" s="75"/>
      <c r="CS6" s="75"/>
      <c r="CT6" s="75"/>
      <c r="CU6" s="75"/>
      <c r="CV6" s="75"/>
      <c r="CW6" s="75"/>
      <c r="CX6" s="94"/>
      <c r="CY6" s="94"/>
      <c r="CZ6" s="94"/>
      <c r="DA6" s="94"/>
      <c r="DB6" s="94"/>
      <c r="DC6" s="94"/>
      <c r="DD6" s="94"/>
      <c r="DE6" s="94"/>
      <c r="DF6" s="94"/>
      <c r="DG6" s="94"/>
      <c r="DH6" s="94"/>
      <c r="DI6" s="94"/>
      <c r="DJ6" s="94"/>
      <c r="DK6" s="94"/>
      <c r="DL6" s="94"/>
      <c r="DM6" s="94"/>
      <c r="DN6" s="94"/>
      <c r="DO6" s="94"/>
      <c r="DP6" s="94"/>
      <c r="DQ6" s="94"/>
      <c r="DR6" s="94"/>
      <c r="DS6" s="94"/>
      <c r="DT6" s="94"/>
      <c r="DU6" s="94"/>
      <c r="DV6" s="94"/>
      <c r="DW6" s="94"/>
      <c r="DX6" s="94"/>
      <c r="DY6" s="94"/>
      <c r="DZ6" s="94"/>
      <c r="EA6" s="94"/>
      <c r="EB6" s="94"/>
      <c r="EC6" s="94"/>
      <c r="ED6" s="94"/>
      <c r="EE6" s="94"/>
      <c r="EF6" s="94"/>
      <c r="EG6" s="94"/>
      <c r="EH6" s="94"/>
      <c r="EI6" s="94"/>
      <c r="EJ6" s="94"/>
      <c r="EK6" s="94"/>
      <c r="EL6" s="94"/>
      <c r="EM6" s="94"/>
      <c r="EN6" s="94"/>
      <c r="EO6" s="94"/>
      <c r="EP6" s="94"/>
      <c r="EQ6" s="94"/>
      <c r="ER6" s="94"/>
      <c r="ES6" s="94"/>
      <c r="ET6" s="94"/>
      <c r="EU6" s="94"/>
      <c r="EV6" s="94"/>
      <c r="EW6" s="94"/>
      <c r="EX6" s="94"/>
      <c r="EY6" s="94"/>
      <c r="EZ6" s="94"/>
      <c r="FA6" s="94"/>
      <c r="FB6" s="94"/>
      <c r="FC6" s="94"/>
      <c r="FD6" s="94"/>
      <c r="FE6" s="94"/>
      <c r="FF6" s="94"/>
      <c r="FG6" s="94"/>
      <c r="FH6" s="94"/>
      <c r="FI6" s="94"/>
      <c r="FJ6" s="94"/>
      <c r="FK6" s="94"/>
      <c r="FL6" s="94"/>
      <c r="FM6" s="94"/>
      <c r="FN6" s="137"/>
      <c r="FO6" s="137"/>
      <c r="FP6" s="137"/>
      <c r="FQ6" s="137"/>
    </row>
    <row r="7" spans="1:173" s="4" customFormat="1" x14ac:dyDescent="0.25">
      <c r="A7" s="49" t="s">
        <v>545</v>
      </c>
      <c r="B7" s="89"/>
      <c r="C7" s="89"/>
      <c r="D7" s="89"/>
      <c r="E7" s="89"/>
      <c r="F7" s="89"/>
      <c r="G7" s="89"/>
      <c r="H7" s="89"/>
      <c r="I7" s="89"/>
      <c r="J7" s="86"/>
      <c r="K7" s="89"/>
      <c r="L7" s="89"/>
      <c r="M7" s="89"/>
      <c r="N7" s="86"/>
      <c r="O7" s="89"/>
      <c r="P7" s="89"/>
      <c r="Q7" s="89"/>
      <c r="R7" s="86"/>
      <c r="S7" s="89"/>
      <c r="T7" s="89"/>
      <c r="U7" s="89"/>
      <c r="V7" s="86"/>
      <c r="W7" s="89"/>
      <c r="X7" s="89"/>
      <c r="Y7" s="89"/>
      <c r="Z7" s="86"/>
      <c r="AA7" s="89"/>
      <c r="AB7" s="89"/>
      <c r="AC7" s="89"/>
      <c r="AD7" s="86"/>
      <c r="AE7" s="89"/>
      <c r="AF7" s="89"/>
      <c r="AG7" s="89"/>
      <c r="AH7" s="86"/>
      <c r="AI7" s="89"/>
      <c r="AJ7" s="89"/>
      <c r="AK7" s="89"/>
      <c r="AL7" s="86"/>
      <c r="AM7" s="89"/>
      <c r="AN7" s="89"/>
      <c r="AO7" s="89"/>
      <c r="AP7" s="86"/>
      <c r="AQ7" s="89"/>
      <c r="AR7" s="89"/>
      <c r="AS7" s="89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>
        <v>0.8</v>
      </c>
      <c r="BW7" s="75"/>
      <c r="BX7" s="75"/>
      <c r="BY7" s="75"/>
      <c r="BZ7" s="75"/>
      <c r="CA7" s="75"/>
      <c r="CB7" s="75"/>
      <c r="CC7" s="75"/>
      <c r="CD7" s="75"/>
      <c r="CE7" s="75"/>
      <c r="CF7" s="75"/>
      <c r="CG7" s="75"/>
      <c r="CH7" s="75"/>
      <c r="CI7" s="75"/>
      <c r="CJ7" s="75"/>
      <c r="CK7" s="75"/>
      <c r="CL7" s="75"/>
      <c r="CM7" s="75"/>
      <c r="CN7" s="75"/>
      <c r="CO7" s="75"/>
      <c r="CP7" s="75"/>
      <c r="CQ7" s="75"/>
      <c r="CR7" s="75"/>
      <c r="CS7" s="75"/>
      <c r="CT7" s="75"/>
      <c r="CU7" s="75"/>
      <c r="CV7" s="75"/>
      <c r="CW7" s="75"/>
      <c r="CX7" s="94"/>
      <c r="CY7" s="94"/>
      <c r="CZ7" s="94"/>
      <c r="DA7" s="94"/>
      <c r="DB7" s="94"/>
      <c r="DC7" s="94"/>
      <c r="DD7" s="94"/>
      <c r="DE7" s="94"/>
      <c r="DF7" s="94"/>
      <c r="DG7" s="94"/>
      <c r="DH7" s="94"/>
      <c r="DI7" s="94"/>
      <c r="DJ7" s="94"/>
      <c r="DK7" s="94"/>
      <c r="DL7" s="94"/>
      <c r="DM7" s="94"/>
      <c r="DN7" s="94"/>
      <c r="DO7" s="94"/>
      <c r="DP7" s="94"/>
      <c r="DQ7" s="94"/>
      <c r="DR7" s="94"/>
      <c r="DS7" s="94"/>
      <c r="DT7" s="94"/>
      <c r="DU7" s="94"/>
      <c r="DV7" s="94"/>
      <c r="DW7" s="94"/>
      <c r="DX7" s="94"/>
      <c r="DY7" s="94"/>
      <c r="DZ7" s="94"/>
      <c r="EA7" s="94"/>
      <c r="EB7" s="94"/>
      <c r="EC7" s="94"/>
      <c r="ED7" s="94"/>
      <c r="EE7" s="94"/>
      <c r="EF7" s="94"/>
      <c r="EG7" s="94"/>
      <c r="EH7" s="94"/>
      <c r="EI7" s="94"/>
      <c r="EJ7" s="94"/>
      <c r="EK7" s="94"/>
      <c r="EL7" s="94"/>
      <c r="EM7" s="94"/>
      <c r="EN7" s="94"/>
      <c r="EO7" s="94"/>
      <c r="EP7" s="94"/>
      <c r="EQ7" s="94"/>
      <c r="ER7" s="94"/>
      <c r="ES7" s="94"/>
      <c r="ET7" s="94"/>
      <c r="EU7" s="94"/>
      <c r="EV7" s="94"/>
      <c r="EW7" s="94"/>
      <c r="EX7" s="94"/>
      <c r="EY7" s="94"/>
      <c r="EZ7" s="94"/>
      <c r="FA7" s="94"/>
      <c r="FB7" s="94"/>
      <c r="FC7" s="94"/>
      <c r="FD7" s="94"/>
      <c r="FE7" s="94"/>
      <c r="FF7" s="94"/>
      <c r="FG7" s="94"/>
      <c r="FH7" s="94"/>
      <c r="FI7" s="94"/>
      <c r="FJ7" s="94"/>
      <c r="FK7" s="94"/>
      <c r="FL7" s="94"/>
      <c r="FM7" s="94"/>
      <c r="FN7" s="137"/>
      <c r="FO7" s="137"/>
      <c r="FP7" s="137"/>
      <c r="FQ7" s="137"/>
    </row>
    <row r="8" spans="1:173" s="4" customFormat="1" x14ac:dyDescent="0.25">
      <c r="A8" s="49" t="s">
        <v>43</v>
      </c>
      <c r="B8" s="89" t="s">
        <v>66</v>
      </c>
      <c r="C8" s="89"/>
      <c r="D8" s="89"/>
      <c r="E8" s="89"/>
      <c r="F8" s="89" t="s">
        <v>620</v>
      </c>
      <c r="G8" s="89"/>
      <c r="H8" s="89"/>
      <c r="I8" s="89"/>
      <c r="J8" s="86" t="s">
        <v>65</v>
      </c>
      <c r="K8" s="89"/>
      <c r="L8" s="89"/>
      <c r="M8" s="89"/>
      <c r="N8" s="86" t="s">
        <v>286</v>
      </c>
      <c r="O8" s="89"/>
      <c r="P8" s="89"/>
      <c r="Q8" s="89"/>
      <c r="R8" s="86" t="s">
        <v>24</v>
      </c>
      <c r="S8" s="89"/>
      <c r="T8" s="89"/>
      <c r="U8" s="89"/>
      <c r="V8" s="86" t="s">
        <v>287</v>
      </c>
      <c r="W8" s="89"/>
      <c r="X8" s="89"/>
      <c r="Y8" s="89"/>
      <c r="Z8" s="86" t="s">
        <v>657</v>
      </c>
      <c r="AA8" s="89"/>
      <c r="AB8" s="89"/>
      <c r="AC8" s="89"/>
      <c r="AD8" s="86" t="s">
        <v>285</v>
      </c>
      <c r="AE8" s="89"/>
      <c r="AF8" s="89"/>
      <c r="AG8" s="89"/>
      <c r="AH8" s="86" t="s">
        <v>288</v>
      </c>
      <c r="AI8" s="89"/>
      <c r="AJ8" s="89"/>
      <c r="AK8" s="89"/>
      <c r="AL8" s="86" t="s">
        <v>120</v>
      </c>
      <c r="AM8" s="89"/>
      <c r="AN8" s="89"/>
      <c r="AO8" s="89"/>
      <c r="AP8" s="86" t="s">
        <v>712</v>
      </c>
      <c r="AQ8" s="89"/>
      <c r="AR8" s="89"/>
      <c r="AS8" s="89"/>
      <c r="AT8" s="75" t="s">
        <v>178</v>
      </c>
      <c r="AU8" s="75"/>
      <c r="AV8" s="75"/>
      <c r="AW8" s="75"/>
      <c r="AX8" s="75" t="s">
        <v>164</v>
      </c>
      <c r="AY8" s="75"/>
      <c r="AZ8" s="75"/>
      <c r="BA8" s="75"/>
      <c r="BB8" s="75" t="s">
        <v>179</v>
      </c>
      <c r="BC8" s="75"/>
      <c r="BD8" s="75"/>
      <c r="BE8" s="75"/>
      <c r="BF8" s="75" t="s">
        <v>180</v>
      </c>
      <c r="BG8" s="75"/>
      <c r="BH8" s="75"/>
      <c r="BI8" s="75"/>
      <c r="BJ8" s="75" t="s">
        <v>549</v>
      </c>
      <c r="BK8" s="75"/>
      <c r="BL8" s="75"/>
      <c r="BM8" s="75"/>
      <c r="BN8" s="75" t="s">
        <v>181</v>
      </c>
      <c r="BO8" s="75"/>
      <c r="BP8" s="75"/>
      <c r="BQ8" s="75"/>
      <c r="BR8" s="75"/>
      <c r="BS8" s="75"/>
      <c r="BT8" s="75"/>
      <c r="BU8" s="75"/>
      <c r="BV8" s="75" t="s">
        <v>169</v>
      </c>
      <c r="BW8" s="75"/>
      <c r="BX8" s="75"/>
      <c r="BY8" s="75"/>
      <c r="BZ8" s="75" t="s">
        <v>171</v>
      </c>
      <c r="CA8" s="75"/>
      <c r="CB8" s="75"/>
      <c r="CC8" s="75"/>
      <c r="CD8" s="75" t="s">
        <v>358</v>
      </c>
      <c r="CE8" s="75"/>
      <c r="CF8" s="75"/>
      <c r="CG8" s="75"/>
      <c r="CH8" s="75" t="s">
        <v>550</v>
      </c>
      <c r="CI8" s="75"/>
      <c r="CJ8" s="75"/>
      <c r="CK8" s="75"/>
      <c r="CL8" s="75" t="s">
        <v>163</v>
      </c>
      <c r="CM8" s="75"/>
      <c r="CN8" s="75"/>
      <c r="CO8" s="75"/>
      <c r="CP8" s="75" t="s">
        <v>177</v>
      </c>
      <c r="CQ8" s="75"/>
      <c r="CR8" s="75"/>
      <c r="CS8" s="75"/>
      <c r="CT8" s="75" t="s">
        <v>166</v>
      </c>
      <c r="CU8" s="75"/>
      <c r="CV8" s="75"/>
      <c r="CW8" s="75"/>
      <c r="CX8" s="94" t="s">
        <v>396</v>
      </c>
      <c r="CY8" s="94"/>
      <c r="CZ8" s="94"/>
      <c r="DA8" s="94"/>
      <c r="DB8" s="94" t="s">
        <v>664</v>
      </c>
      <c r="DC8" s="94"/>
      <c r="DD8" s="94"/>
      <c r="DE8" s="94"/>
      <c r="DF8" s="94" t="s">
        <v>705</v>
      </c>
      <c r="DG8" s="94" t="s">
        <v>705</v>
      </c>
      <c r="DH8" s="94" t="s">
        <v>706</v>
      </c>
      <c r="DI8" s="94"/>
      <c r="DJ8" s="94" t="s">
        <v>256</v>
      </c>
      <c r="DK8" s="94"/>
      <c r="DL8" s="94"/>
      <c r="DM8" s="94"/>
      <c r="DN8" s="94" t="s">
        <v>121</v>
      </c>
      <c r="DO8" s="94"/>
      <c r="DP8" s="94"/>
      <c r="DQ8" s="94"/>
      <c r="DR8" s="94" t="s">
        <v>126</v>
      </c>
      <c r="DS8" s="94"/>
      <c r="DT8" s="94"/>
      <c r="DU8" s="94"/>
      <c r="DV8" s="94" t="s">
        <v>729</v>
      </c>
      <c r="DW8" s="94">
        <v>321.15800000000002</v>
      </c>
      <c r="DX8" s="94" t="s">
        <v>728</v>
      </c>
      <c r="DY8" s="94"/>
      <c r="DZ8" s="94" t="s">
        <v>398</v>
      </c>
      <c r="EA8" s="94"/>
      <c r="EB8" s="94"/>
      <c r="EC8" s="94"/>
      <c r="ED8" s="94" t="s">
        <v>117</v>
      </c>
      <c r="EE8" s="94"/>
      <c r="EF8" s="94"/>
      <c r="EG8" s="94"/>
      <c r="EH8" s="94" t="s">
        <v>119</v>
      </c>
      <c r="EI8" s="94"/>
      <c r="EJ8" s="94"/>
      <c r="EK8" s="94"/>
      <c r="EL8" s="94" t="s">
        <v>741</v>
      </c>
      <c r="EM8" s="94"/>
      <c r="EN8" s="94"/>
      <c r="EO8" s="94"/>
      <c r="EP8" s="94" t="s">
        <v>717</v>
      </c>
      <c r="EQ8" s="94"/>
      <c r="ER8" s="94" t="s">
        <v>718</v>
      </c>
      <c r="ES8" s="94"/>
      <c r="ET8" s="94" t="s">
        <v>129</v>
      </c>
      <c r="EU8" s="94"/>
      <c r="EV8" s="94"/>
      <c r="EW8" s="94"/>
      <c r="EX8" s="94" t="s">
        <v>122</v>
      </c>
      <c r="EY8" s="94"/>
      <c r="EZ8" s="94"/>
      <c r="FA8" s="94"/>
      <c r="FB8" s="94" t="s">
        <v>125</v>
      </c>
      <c r="FC8" s="94"/>
      <c r="FD8" s="94"/>
      <c r="FE8" s="94"/>
      <c r="FF8" s="94" t="s">
        <v>124</v>
      </c>
      <c r="FG8" s="94"/>
      <c r="FH8" s="94"/>
      <c r="FI8" s="94"/>
      <c r="FJ8" s="94" t="s">
        <v>118</v>
      </c>
      <c r="FK8" s="94"/>
      <c r="FL8" s="94"/>
      <c r="FM8" s="94"/>
      <c r="FN8" s="137"/>
      <c r="FO8" s="137"/>
      <c r="FP8" s="137"/>
      <c r="FQ8" s="137"/>
    </row>
    <row r="9" spans="1:173" s="4" customFormat="1" x14ac:dyDescent="0.25">
      <c r="A9" s="49" t="s">
        <v>697</v>
      </c>
      <c r="B9" s="89"/>
      <c r="C9" s="89"/>
      <c r="D9" s="89"/>
      <c r="E9" s="89"/>
      <c r="F9" s="89"/>
      <c r="G9" s="89"/>
      <c r="H9" s="89"/>
      <c r="I9" s="89"/>
      <c r="J9" s="86"/>
      <c r="K9" s="89"/>
      <c r="L9" s="89"/>
      <c r="M9" s="89"/>
      <c r="N9" s="86"/>
      <c r="O9" s="89"/>
      <c r="P9" s="89"/>
      <c r="Q9" s="89"/>
      <c r="R9" s="86"/>
      <c r="S9" s="89"/>
      <c r="T9" s="89"/>
      <c r="U9" s="89"/>
      <c r="V9" s="86"/>
      <c r="W9" s="89"/>
      <c r="X9" s="89"/>
      <c r="Y9" s="89"/>
      <c r="Z9" s="86"/>
      <c r="AA9" s="89"/>
      <c r="AB9" s="89"/>
      <c r="AC9" s="89"/>
      <c r="AD9" s="86"/>
      <c r="AE9" s="89"/>
      <c r="AF9" s="89"/>
      <c r="AG9" s="89"/>
      <c r="AH9" s="86"/>
      <c r="AI9" s="89"/>
      <c r="AJ9" s="89"/>
      <c r="AK9" s="89"/>
      <c r="AL9" s="86"/>
      <c r="AM9" s="89"/>
      <c r="AN9" s="89"/>
      <c r="AO9" s="89"/>
      <c r="AP9" s="86"/>
      <c r="AQ9" s="89"/>
      <c r="AR9" s="89"/>
      <c r="AS9" s="89"/>
      <c r="AT9" s="75"/>
      <c r="AU9" s="75"/>
      <c r="AV9" s="75"/>
      <c r="AW9" s="75"/>
      <c r="AX9" s="75"/>
      <c r="AY9" s="75"/>
      <c r="AZ9" s="75"/>
      <c r="BA9" s="75"/>
      <c r="BB9" s="75">
        <v>1</v>
      </c>
      <c r="BC9" s="75"/>
      <c r="BD9" s="75"/>
      <c r="BE9" s="75"/>
      <c r="BF9" s="75">
        <v>2</v>
      </c>
      <c r="BG9" s="75"/>
      <c r="BH9" s="75"/>
      <c r="BI9" s="75"/>
      <c r="BJ9" s="75">
        <v>1</v>
      </c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>
        <v>1</v>
      </c>
      <c r="CI9" s="75"/>
      <c r="CJ9" s="75"/>
      <c r="CK9" s="75"/>
      <c r="CL9" s="75">
        <v>1</v>
      </c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94"/>
      <c r="CY9" s="94"/>
      <c r="CZ9" s="94"/>
      <c r="DA9" s="94"/>
      <c r="DB9" s="94"/>
      <c r="DC9" s="94"/>
      <c r="DD9" s="94"/>
      <c r="DE9" s="94"/>
      <c r="DF9" s="94"/>
      <c r="DG9" s="94"/>
      <c r="DH9" s="94"/>
      <c r="DI9" s="94"/>
      <c r="DJ9" s="94"/>
      <c r="DK9" s="94"/>
      <c r="DL9" s="94"/>
      <c r="DM9" s="94"/>
      <c r="DN9" s="94"/>
      <c r="DO9" s="94"/>
      <c r="DP9" s="94"/>
      <c r="DQ9" s="94"/>
      <c r="DR9" s="94"/>
      <c r="DS9" s="94"/>
      <c r="DT9" s="94"/>
      <c r="DU9" s="94"/>
      <c r="DV9" s="94"/>
      <c r="DW9" s="94"/>
      <c r="DX9" s="94"/>
      <c r="DY9" s="94"/>
      <c r="DZ9" s="94"/>
      <c r="EA9" s="94"/>
      <c r="EB9" s="94"/>
      <c r="EC9" s="94"/>
      <c r="ED9" s="94"/>
      <c r="EE9" s="94"/>
      <c r="EF9" s="94"/>
      <c r="EG9" s="94"/>
      <c r="EH9" s="94"/>
      <c r="EI9" s="94"/>
      <c r="EJ9" s="94"/>
      <c r="EK9" s="94"/>
      <c r="EL9" s="94"/>
      <c r="EM9" s="94"/>
      <c r="EN9" s="94"/>
      <c r="EO9" s="94"/>
      <c r="EP9" s="94"/>
      <c r="EQ9" s="94"/>
      <c r="ER9" s="94"/>
      <c r="ES9" s="94"/>
      <c r="ET9" s="94"/>
      <c r="EU9" s="94"/>
      <c r="EV9" s="94"/>
      <c r="EW9" s="94"/>
      <c r="EX9" s="94"/>
      <c r="EY9" s="94"/>
      <c r="EZ9" s="94"/>
      <c r="FA9" s="94"/>
      <c r="FB9" s="94"/>
      <c r="FC9" s="94"/>
      <c r="FD9" s="94"/>
      <c r="FE9" s="94"/>
      <c r="FF9" s="94"/>
      <c r="FG9" s="94"/>
      <c r="FH9" s="94"/>
      <c r="FI9" s="94"/>
      <c r="FJ9" s="94"/>
      <c r="FK9" s="94"/>
      <c r="FL9" s="94"/>
      <c r="FM9" s="94"/>
      <c r="FN9" s="137"/>
      <c r="FO9" s="137"/>
      <c r="FP9" s="137"/>
      <c r="FQ9" s="137"/>
    </row>
    <row r="10" spans="1:173" s="4" customFormat="1" x14ac:dyDescent="0.25">
      <c r="A10" s="49" t="s">
        <v>76</v>
      </c>
      <c r="B10" s="89">
        <v>20.3</v>
      </c>
      <c r="C10" s="89"/>
      <c r="D10" s="89"/>
      <c r="E10" s="89"/>
      <c r="F10" s="89">
        <v>1</v>
      </c>
      <c r="G10" s="89"/>
      <c r="H10" s="89"/>
      <c r="I10" s="89"/>
      <c r="J10" s="86">
        <v>0.53</v>
      </c>
      <c r="K10" s="89"/>
      <c r="L10" s="89"/>
      <c r="M10" s="89"/>
      <c r="N10" s="86">
        <v>1</v>
      </c>
      <c r="O10" s="89"/>
      <c r="P10" s="89"/>
      <c r="Q10" s="89"/>
      <c r="R10" s="86"/>
      <c r="S10" s="89"/>
      <c r="T10" s="89"/>
      <c r="U10" s="89"/>
      <c r="V10" s="86"/>
      <c r="W10" s="89"/>
      <c r="X10" s="89"/>
      <c r="Y10" s="89"/>
      <c r="Z10" s="86"/>
      <c r="AA10" s="89"/>
      <c r="AB10" s="89"/>
      <c r="AC10" s="89"/>
      <c r="AD10" s="86"/>
      <c r="AE10" s="89"/>
      <c r="AF10" s="89"/>
      <c r="AG10" s="89"/>
      <c r="AH10" s="86"/>
      <c r="AI10" s="89"/>
      <c r="AJ10" s="89"/>
      <c r="AK10" s="89"/>
      <c r="AL10" s="86"/>
      <c r="AM10" s="89"/>
      <c r="AN10" s="89"/>
      <c r="AO10" s="89"/>
      <c r="AP10" s="86"/>
      <c r="AQ10" s="89"/>
      <c r="AR10" s="89"/>
      <c r="AS10" s="89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5"/>
      <c r="CF10" s="75"/>
      <c r="CG10" s="75"/>
      <c r="CH10" s="75"/>
      <c r="CI10" s="75"/>
      <c r="CJ10" s="75"/>
      <c r="CK10" s="75"/>
      <c r="CL10" s="75"/>
      <c r="CM10" s="75"/>
      <c r="CN10" s="75"/>
      <c r="CO10" s="75"/>
      <c r="CP10" s="75"/>
      <c r="CQ10" s="75"/>
      <c r="CR10" s="75"/>
      <c r="CS10" s="75"/>
      <c r="CT10" s="75"/>
      <c r="CU10" s="75"/>
      <c r="CV10" s="75"/>
      <c r="CW10" s="75"/>
      <c r="CX10" s="94">
        <v>4.7E-2</v>
      </c>
      <c r="CY10" s="94"/>
      <c r="CZ10" s="94"/>
      <c r="DA10" s="94"/>
      <c r="DB10" s="94">
        <v>4.6849999999999996</v>
      </c>
      <c r="DC10" s="94"/>
      <c r="DD10" s="94"/>
      <c r="DE10" s="94"/>
      <c r="DF10" s="94"/>
      <c r="DG10" s="94"/>
      <c r="DH10" s="94"/>
      <c r="DI10" s="94"/>
      <c r="DJ10" s="94"/>
      <c r="DK10" s="94"/>
      <c r="DL10" s="94"/>
      <c r="DM10" s="94"/>
      <c r="DN10" s="94"/>
      <c r="DO10" s="94"/>
      <c r="DP10" s="94"/>
      <c r="DQ10" s="94"/>
      <c r="DR10" s="94"/>
      <c r="DS10" s="94"/>
      <c r="DT10" s="94"/>
      <c r="DU10" s="94"/>
      <c r="DV10" s="94"/>
      <c r="DW10" s="94"/>
      <c r="DX10" s="94"/>
      <c r="DY10" s="94"/>
      <c r="DZ10" s="94"/>
      <c r="EA10" s="94"/>
      <c r="EB10" s="94"/>
      <c r="EC10" s="94"/>
      <c r="ED10" s="94"/>
      <c r="EE10" s="94"/>
      <c r="EF10" s="94"/>
      <c r="EG10" s="94"/>
      <c r="EH10" s="94"/>
      <c r="EI10" s="94"/>
      <c r="EJ10" s="94"/>
      <c r="EK10" s="94"/>
      <c r="EL10" s="94"/>
      <c r="EM10" s="94"/>
      <c r="EN10" s="94"/>
      <c r="EO10" s="94"/>
      <c r="EP10" s="94"/>
      <c r="EQ10" s="94"/>
      <c r="ER10" s="94"/>
      <c r="ES10" s="94"/>
      <c r="ET10" s="94"/>
      <c r="EU10" s="94"/>
      <c r="EV10" s="94"/>
      <c r="EW10" s="94"/>
      <c r="EX10" s="94"/>
      <c r="EY10" s="94"/>
      <c r="EZ10" s="94"/>
      <c r="FA10" s="94"/>
      <c r="FB10" s="94"/>
      <c r="FC10" s="94"/>
      <c r="FD10" s="94"/>
      <c r="FE10" s="94"/>
      <c r="FF10" s="94"/>
      <c r="FG10" s="94"/>
      <c r="FH10" s="94"/>
      <c r="FI10" s="94"/>
      <c r="FJ10" s="94"/>
      <c r="FK10" s="94"/>
      <c r="FL10" s="94"/>
      <c r="FM10" s="94"/>
      <c r="FN10" s="137"/>
      <c r="FO10" s="137"/>
      <c r="FP10" s="137"/>
      <c r="FQ10" s="137"/>
    </row>
    <row r="11" spans="1:173" s="4" customFormat="1" x14ac:dyDescent="0.25">
      <c r="A11" s="49" t="s">
        <v>75</v>
      </c>
      <c r="B11" s="89" t="s">
        <v>103</v>
      </c>
      <c r="C11" s="89"/>
      <c r="D11" s="89"/>
      <c r="E11" s="89"/>
      <c r="F11" s="89" t="s">
        <v>650</v>
      </c>
      <c r="G11" s="89" t="s">
        <v>654</v>
      </c>
      <c r="H11" s="89" t="s">
        <v>652</v>
      </c>
      <c r="I11" s="89" t="s">
        <v>653</v>
      </c>
      <c r="J11" s="86" t="s">
        <v>104</v>
      </c>
      <c r="K11" s="89"/>
      <c r="L11" s="89"/>
      <c r="M11" s="89"/>
      <c r="N11" s="86" t="s">
        <v>102</v>
      </c>
      <c r="O11" s="89"/>
      <c r="P11" s="89"/>
      <c r="Q11" s="89"/>
      <c r="R11" s="86"/>
      <c r="S11" s="89"/>
      <c r="T11" s="89"/>
      <c r="U11" s="89"/>
      <c r="V11" s="86"/>
      <c r="W11" s="89"/>
      <c r="X11" s="89"/>
      <c r="Y11" s="89"/>
      <c r="Z11" s="86"/>
      <c r="AA11" s="89"/>
      <c r="AB11" s="89"/>
      <c r="AC11" s="89"/>
      <c r="AD11" s="86"/>
      <c r="AE11" s="89"/>
      <c r="AF11" s="89"/>
      <c r="AG11" s="89"/>
      <c r="AH11" s="86"/>
      <c r="AI11" s="89"/>
      <c r="AJ11" s="89"/>
      <c r="AK11" s="89"/>
      <c r="AL11" s="86"/>
      <c r="AM11" s="89"/>
      <c r="AN11" s="89"/>
      <c r="AO11" s="89"/>
      <c r="AP11" s="86"/>
      <c r="AQ11" s="89"/>
      <c r="AR11" s="89"/>
      <c r="AS11" s="89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5"/>
      <c r="CF11" s="75"/>
      <c r="CG11" s="75"/>
      <c r="CH11" s="75"/>
      <c r="CI11" s="75"/>
      <c r="CJ11" s="75"/>
      <c r="CK11" s="75"/>
      <c r="CL11" s="76"/>
      <c r="CM11" s="76"/>
      <c r="CN11" s="76"/>
      <c r="CO11" s="76"/>
      <c r="CP11" s="75"/>
      <c r="CQ11" s="75"/>
      <c r="CR11" s="75"/>
      <c r="CS11" s="75"/>
      <c r="CT11" s="75"/>
      <c r="CU11" s="75"/>
      <c r="CV11" s="75"/>
      <c r="CW11" s="75"/>
      <c r="CX11" s="94" t="s">
        <v>614</v>
      </c>
      <c r="CY11" s="94"/>
      <c r="CZ11" s="94"/>
      <c r="DA11" s="94"/>
      <c r="DB11" s="94" t="s">
        <v>257</v>
      </c>
      <c r="DC11" s="94"/>
      <c r="DD11" s="94"/>
      <c r="DE11" s="94"/>
      <c r="DF11" s="94"/>
      <c r="DG11" s="94"/>
      <c r="DH11" s="94"/>
      <c r="DI11" s="94"/>
      <c r="DJ11" s="94"/>
      <c r="DK11" s="94"/>
      <c r="DL11" s="94"/>
      <c r="DM11" s="94"/>
      <c r="DN11" s="94"/>
      <c r="DO11" s="94"/>
      <c r="DP11" s="94"/>
      <c r="DQ11" s="94"/>
      <c r="DR11" s="94"/>
      <c r="DS11" s="94"/>
      <c r="DT11" s="94"/>
      <c r="DU11" s="94"/>
      <c r="DV11" s="94"/>
      <c r="DW11" s="94"/>
      <c r="DX11" s="94"/>
      <c r="DY11" s="94"/>
      <c r="DZ11" s="94"/>
      <c r="EA11" s="94"/>
      <c r="EB11" s="94"/>
      <c r="EC11" s="94"/>
      <c r="ED11" s="94"/>
      <c r="EE11" s="94"/>
      <c r="EF11" s="94"/>
      <c r="EG11" s="94"/>
      <c r="EH11" s="94"/>
      <c r="EI11" s="94"/>
      <c r="EJ11" s="94"/>
      <c r="EK11" s="94"/>
      <c r="EL11" s="94"/>
      <c r="EM11" s="94"/>
      <c r="EN11" s="94"/>
      <c r="EO11" s="94"/>
      <c r="EP11" s="94"/>
      <c r="EQ11" s="94"/>
      <c r="ER11" s="94"/>
      <c r="ES11" s="94"/>
      <c r="ET11" s="94"/>
      <c r="EU11" s="94"/>
      <c r="EV11" s="94"/>
      <c r="EW11" s="94"/>
      <c r="EX11" s="94"/>
      <c r="EY11" s="94"/>
      <c r="EZ11" s="94"/>
      <c r="FA11" s="94"/>
      <c r="FB11" s="94"/>
      <c r="FC11" s="94"/>
      <c r="FD11" s="94"/>
      <c r="FE11" s="94"/>
      <c r="FF11" s="94"/>
      <c r="FG11" s="94"/>
      <c r="FH11" s="94"/>
      <c r="FI11" s="94"/>
      <c r="FJ11" s="94"/>
      <c r="FK11" s="94"/>
      <c r="FL11" s="94"/>
      <c r="FM11" s="94"/>
      <c r="FN11" s="137"/>
      <c r="FO11" s="137"/>
      <c r="FP11" s="137"/>
      <c r="FQ11" s="137"/>
    </row>
    <row r="12" spans="1:173" ht="15.75" thickBot="1" x14ac:dyDescent="0.3">
      <c r="A12" s="63" t="s">
        <v>330</v>
      </c>
      <c r="B12" s="45"/>
      <c r="C12" s="90" t="s">
        <v>355</v>
      </c>
      <c r="D12" s="90" t="s">
        <v>356</v>
      </c>
      <c r="E12" s="90" t="s">
        <v>357</v>
      </c>
      <c r="F12" s="45"/>
      <c r="G12" s="90" t="s">
        <v>355</v>
      </c>
      <c r="H12" s="90" t="s">
        <v>356</v>
      </c>
      <c r="I12" s="90" t="s">
        <v>357</v>
      </c>
      <c r="J12" s="45"/>
      <c r="K12" s="90" t="s">
        <v>355</v>
      </c>
      <c r="L12" s="90" t="s">
        <v>356</v>
      </c>
      <c r="M12" s="90" t="s">
        <v>357</v>
      </c>
      <c r="N12" s="45"/>
      <c r="O12" s="90" t="s">
        <v>355</v>
      </c>
      <c r="P12" s="90" t="s">
        <v>356</v>
      </c>
      <c r="Q12" s="90" t="s">
        <v>357</v>
      </c>
      <c r="R12" s="45"/>
      <c r="S12" s="90" t="s">
        <v>355</v>
      </c>
      <c r="T12" s="90" t="s">
        <v>356</v>
      </c>
      <c r="U12" s="90" t="s">
        <v>357</v>
      </c>
      <c r="V12" s="45"/>
      <c r="W12" s="90" t="s">
        <v>355</v>
      </c>
      <c r="X12" s="90" t="s">
        <v>356</v>
      </c>
      <c r="Y12" s="90" t="s">
        <v>357</v>
      </c>
      <c r="Z12" s="45"/>
      <c r="AA12" s="90" t="s">
        <v>355</v>
      </c>
      <c r="AB12" s="90" t="s">
        <v>356</v>
      </c>
      <c r="AC12" s="90" t="s">
        <v>357</v>
      </c>
      <c r="AD12" s="45"/>
      <c r="AE12" s="90" t="s">
        <v>355</v>
      </c>
      <c r="AF12" s="90" t="s">
        <v>356</v>
      </c>
      <c r="AG12" s="90" t="s">
        <v>357</v>
      </c>
      <c r="AH12" s="45"/>
      <c r="AI12" s="90" t="s">
        <v>355</v>
      </c>
      <c r="AJ12" s="90" t="s">
        <v>356</v>
      </c>
      <c r="AK12" s="90" t="s">
        <v>357</v>
      </c>
      <c r="AL12" s="45"/>
      <c r="AM12" s="90" t="s">
        <v>355</v>
      </c>
      <c r="AN12" s="90" t="s">
        <v>356</v>
      </c>
      <c r="AO12" s="90" t="s">
        <v>357</v>
      </c>
      <c r="AP12" s="45"/>
      <c r="AQ12" s="90" t="s">
        <v>355</v>
      </c>
      <c r="AR12" s="90" t="s">
        <v>356</v>
      </c>
      <c r="AS12" s="90" t="s">
        <v>357</v>
      </c>
      <c r="AT12" s="74" t="s">
        <v>268</v>
      </c>
      <c r="AU12" s="79" t="s">
        <v>355</v>
      </c>
      <c r="AV12" s="79" t="s">
        <v>356</v>
      </c>
      <c r="AW12" s="79" t="s">
        <v>357</v>
      </c>
      <c r="AX12" s="74"/>
      <c r="AY12" s="79" t="s">
        <v>355</v>
      </c>
      <c r="AZ12" s="79" t="s">
        <v>356</v>
      </c>
      <c r="BA12" s="79" t="s">
        <v>357</v>
      </c>
      <c r="BB12" s="74"/>
      <c r="BC12" s="79" t="s">
        <v>355</v>
      </c>
      <c r="BD12" s="79" t="s">
        <v>356</v>
      </c>
      <c r="BE12" s="79" t="s">
        <v>357</v>
      </c>
      <c r="BF12" s="74"/>
      <c r="BG12" s="79" t="s">
        <v>355</v>
      </c>
      <c r="BH12" s="79" t="s">
        <v>356</v>
      </c>
      <c r="BI12" s="79" t="s">
        <v>357</v>
      </c>
      <c r="BJ12" s="74"/>
      <c r="BK12" s="79" t="s">
        <v>355</v>
      </c>
      <c r="BL12" s="79" t="s">
        <v>356</v>
      </c>
      <c r="BM12" s="79" t="s">
        <v>357</v>
      </c>
      <c r="BN12" s="74"/>
      <c r="BO12" s="79" t="s">
        <v>355</v>
      </c>
      <c r="BP12" s="79" t="s">
        <v>356</v>
      </c>
      <c r="BQ12" s="79" t="s">
        <v>357</v>
      </c>
      <c r="BR12" s="74"/>
      <c r="BS12" s="79" t="s">
        <v>355</v>
      </c>
      <c r="BT12" s="79" t="s">
        <v>356</v>
      </c>
      <c r="BU12" s="79" t="s">
        <v>357</v>
      </c>
      <c r="BV12" s="74"/>
      <c r="BW12" s="79" t="s">
        <v>355</v>
      </c>
      <c r="BX12" s="79" t="s">
        <v>356</v>
      </c>
      <c r="BY12" s="79" t="s">
        <v>357</v>
      </c>
      <c r="BZ12" s="74"/>
      <c r="CA12" s="79" t="s">
        <v>355</v>
      </c>
      <c r="CB12" s="79" t="s">
        <v>356</v>
      </c>
      <c r="CC12" s="79" t="s">
        <v>357</v>
      </c>
      <c r="CD12" s="74"/>
      <c r="CE12" s="79" t="s">
        <v>355</v>
      </c>
      <c r="CF12" s="79" t="s">
        <v>356</v>
      </c>
      <c r="CG12" s="79" t="s">
        <v>357</v>
      </c>
      <c r="CH12" s="74"/>
      <c r="CI12" s="79" t="s">
        <v>355</v>
      </c>
      <c r="CJ12" s="79" t="s">
        <v>356</v>
      </c>
      <c r="CK12" s="79" t="s">
        <v>357</v>
      </c>
      <c r="CL12" s="74"/>
      <c r="CM12" s="79" t="s">
        <v>355</v>
      </c>
      <c r="CN12" s="79" t="s">
        <v>356</v>
      </c>
      <c r="CO12" s="79" t="s">
        <v>357</v>
      </c>
      <c r="CP12" s="74"/>
      <c r="CQ12" s="79" t="s">
        <v>355</v>
      </c>
      <c r="CR12" s="79" t="s">
        <v>356</v>
      </c>
      <c r="CS12" s="79" t="s">
        <v>357</v>
      </c>
      <c r="CT12" s="74"/>
      <c r="CU12" s="79" t="s">
        <v>355</v>
      </c>
      <c r="CV12" s="79" t="s">
        <v>356</v>
      </c>
      <c r="CW12" s="79" t="s">
        <v>357</v>
      </c>
      <c r="CX12" s="95"/>
      <c r="CY12" s="93" t="s">
        <v>355</v>
      </c>
      <c r="CZ12" s="93" t="s">
        <v>356</v>
      </c>
      <c r="DA12" s="93" t="s">
        <v>357</v>
      </c>
      <c r="DB12" s="57"/>
      <c r="DC12" s="93" t="s">
        <v>355</v>
      </c>
      <c r="DD12" s="93" t="s">
        <v>356</v>
      </c>
      <c r="DE12" s="93" t="s">
        <v>357</v>
      </c>
      <c r="DF12" s="95"/>
      <c r="DG12" s="93" t="s">
        <v>355</v>
      </c>
      <c r="DH12" s="93" t="s">
        <v>356</v>
      </c>
      <c r="DI12" s="93" t="s">
        <v>357</v>
      </c>
      <c r="DJ12" s="95"/>
      <c r="DK12" s="93" t="s">
        <v>355</v>
      </c>
      <c r="DL12" s="93" t="s">
        <v>356</v>
      </c>
      <c r="DM12" s="93" t="s">
        <v>357</v>
      </c>
      <c r="DN12" s="95"/>
      <c r="DO12" s="93" t="s">
        <v>355</v>
      </c>
      <c r="DP12" s="93" t="s">
        <v>356</v>
      </c>
      <c r="DQ12" s="93" t="s">
        <v>357</v>
      </c>
      <c r="DR12" s="95"/>
      <c r="DS12" s="93" t="s">
        <v>355</v>
      </c>
      <c r="DT12" s="93" t="s">
        <v>356</v>
      </c>
      <c r="DU12" s="93" t="s">
        <v>357</v>
      </c>
      <c r="DV12" s="95"/>
      <c r="DW12" s="93" t="s">
        <v>355</v>
      </c>
      <c r="DX12" s="93" t="s">
        <v>356</v>
      </c>
      <c r="DY12" s="93" t="s">
        <v>357</v>
      </c>
      <c r="DZ12" s="95"/>
      <c r="EA12" s="93" t="s">
        <v>355</v>
      </c>
      <c r="EB12" s="93" t="s">
        <v>356</v>
      </c>
      <c r="EC12" s="93" t="s">
        <v>357</v>
      </c>
      <c r="ED12" s="95"/>
      <c r="EE12" s="93" t="s">
        <v>355</v>
      </c>
      <c r="EF12" s="93" t="s">
        <v>356</v>
      </c>
      <c r="EG12" s="93" t="s">
        <v>357</v>
      </c>
      <c r="EH12" s="95"/>
      <c r="EI12" s="93" t="s">
        <v>355</v>
      </c>
      <c r="EJ12" s="93" t="s">
        <v>356</v>
      </c>
      <c r="EK12" s="93" t="s">
        <v>357</v>
      </c>
      <c r="EL12" s="93"/>
      <c r="EM12" s="93" t="s">
        <v>355</v>
      </c>
      <c r="EN12" s="93" t="s">
        <v>356</v>
      </c>
      <c r="EO12" s="93" t="s">
        <v>357</v>
      </c>
      <c r="EP12" s="57"/>
      <c r="EQ12" s="93" t="s">
        <v>355</v>
      </c>
      <c r="ER12" s="93" t="s">
        <v>356</v>
      </c>
      <c r="ES12" s="93" t="s">
        <v>357</v>
      </c>
      <c r="ET12" s="57"/>
      <c r="EU12" s="93" t="s">
        <v>355</v>
      </c>
      <c r="EV12" s="93" t="s">
        <v>356</v>
      </c>
      <c r="EW12" s="93" t="s">
        <v>357</v>
      </c>
      <c r="EX12" s="57"/>
      <c r="EY12" s="93" t="s">
        <v>355</v>
      </c>
      <c r="EZ12" s="93" t="s">
        <v>356</v>
      </c>
      <c r="FA12" s="93" t="s">
        <v>357</v>
      </c>
      <c r="FB12" s="95"/>
      <c r="FC12" s="93" t="s">
        <v>355</v>
      </c>
      <c r="FD12" s="93" t="s">
        <v>356</v>
      </c>
      <c r="FE12" s="93" t="s">
        <v>357</v>
      </c>
      <c r="FF12" s="95"/>
      <c r="FG12" s="93" t="s">
        <v>355</v>
      </c>
      <c r="FH12" s="93" t="s">
        <v>356</v>
      </c>
      <c r="FI12" s="93" t="s">
        <v>357</v>
      </c>
      <c r="FJ12" s="95"/>
      <c r="FK12" s="93" t="s">
        <v>355</v>
      </c>
      <c r="FL12" s="93" t="s">
        <v>356</v>
      </c>
      <c r="FM12" s="93" t="s">
        <v>357</v>
      </c>
      <c r="FN12" s="135"/>
      <c r="FO12" s="136" t="s">
        <v>355</v>
      </c>
      <c r="FP12" s="136" t="s">
        <v>356</v>
      </c>
      <c r="FQ12" s="136" t="s">
        <v>357</v>
      </c>
    </row>
    <row r="13" spans="1:173" s="5" customFormat="1" x14ac:dyDescent="0.25">
      <c r="A13" s="51" t="s">
        <v>661</v>
      </c>
      <c r="B13" s="97"/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5"/>
      <c r="CM13" s="75"/>
      <c r="CN13" s="75"/>
      <c r="CO13" s="75"/>
      <c r="CP13" s="76"/>
      <c r="CQ13" s="76"/>
      <c r="CR13" s="76"/>
      <c r="CS13" s="76"/>
      <c r="CT13" s="76"/>
      <c r="CU13" s="76"/>
      <c r="CV13" s="76"/>
      <c r="CW13" s="76"/>
      <c r="CX13" s="98">
        <v>1</v>
      </c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134"/>
      <c r="FL13" s="134"/>
      <c r="FM13" s="134"/>
      <c r="FN13" s="137">
        <v>0</v>
      </c>
      <c r="FO13" s="143"/>
      <c r="FP13" s="143"/>
      <c r="FQ13" s="143"/>
    </row>
    <row r="14" spans="1:173" s="5" customFormat="1" x14ac:dyDescent="0.25">
      <c r="A14" s="51" t="s">
        <v>648</v>
      </c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5"/>
      <c r="CM14" s="75"/>
      <c r="CN14" s="75"/>
      <c r="CO14" s="75"/>
      <c r="CP14" s="76"/>
      <c r="CQ14" s="76"/>
      <c r="CR14" s="76"/>
      <c r="CS14" s="76"/>
      <c r="CT14" s="76"/>
      <c r="CU14" s="76"/>
      <c r="CV14" s="76"/>
      <c r="CW14" s="76"/>
      <c r="CX14" s="98">
        <v>0</v>
      </c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134"/>
      <c r="FL14" s="134"/>
      <c r="FM14" s="134"/>
      <c r="FN14" s="137">
        <v>0.5</v>
      </c>
      <c r="FO14" s="143"/>
      <c r="FP14" s="143"/>
      <c r="FQ14" s="143"/>
    </row>
    <row r="15" spans="1:173" s="5" customFormat="1" ht="45" x14ac:dyDescent="0.25">
      <c r="A15" s="51" t="s">
        <v>617</v>
      </c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/>
      <c r="CU15" s="76"/>
      <c r="CV15" s="76"/>
      <c r="CW15" s="76"/>
      <c r="CX15" s="144" t="s">
        <v>663</v>
      </c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134"/>
      <c r="FL15" s="134"/>
      <c r="FM15" s="134"/>
      <c r="FN15" s="141" t="s">
        <v>618</v>
      </c>
      <c r="FO15" s="139"/>
      <c r="FP15" s="139"/>
      <c r="FQ15" s="139"/>
    </row>
    <row r="16" spans="1:173" ht="15.75" thickBot="1" x14ac:dyDescent="0.3">
      <c r="A16" s="63" t="s">
        <v>331</v>
      </c>
      <c r="B16" s="45"/>
      <c r="C16" s="90" t="s">
        <v>355</v>
      </c>
      <c r="D16" s="90" t="s">
        <v>356</v>
      </c>
      <c r="E16" s="90" t="s">
        <v>357</v>
      </c>
      <c r="F16" s="45"/>
      <c r="G16" s="90" t="s">
        <v>355</v>
      </c>
      <c r="H16" s="90" t="s">
        <v>356</v>
      </c>
      <c r="I16" s="90" t="s">
        <v>357</v>
      </c>
      <c r="J16" s="45"/>
      <c r="K16" s="90" t="s">
        <v>355</v>
      </c>
      <c r="L16" s="90" t="s">
        <v>356</v>
      </c>
      <c r="M16" s="90" t="s">
        <v>357</v>
      </c>
      <c r="N16" s="45"/>
      <c r="O16" s="90" t="s">
        <v>355</v>
      </c>
      <c r="P16" s="90" t="s">
        <v>356</v>
      </c>
      <c r="Q16" s="90" t="s">
        <v>357</v>
      </c>
      <c r="R16" s="45"/>
      <c r="S16" s="90" t="s">
        <v>355</v>
      </c>
      <c r="T16" s="90" t="s">
        <v>356</v>
      </c>
      <c r="U16" s="90" t="s">
        <v>357</v>
      </c>
      <c r="V16" s="45"/>
      <c r="W16" s="90" t="s">
        <v>355</v>
      </c>
      <c r="X16" s="90" t="s">
        <v>356</v>
      </c>
      <c r="Y16" s="90" t="s">
        <v>357</v>
      </c>
      <c r="Z16" s="45"/>
      <c r="AA16" s="90" t="s">
        <v>355</v>
      </c>
      <c r="AB16" s="90" t="s">
        <v>356</v>
      </c>
      <c r="AC16" s="90" t="s">
        <v>357</v>
      </c>
      <c r="AD16" s="45"/>
      <c r="AE16" s="90" t="s">
        <v>355</v>
      </c>
      <c r="AF16" s="90" t="s">
        <v>356</v>
      </c>
      <c r="AG16" s="90" t="s">
        <v>357</v>
      </c>
      <c r="AH16" s="45"/>
      <c r="AI16" s="90" t="s">
        <v>355</v>
      </c>
      <c r="AJ16" s="90" t="s">
        <v>356</v>
      </c>
      <c r="AK16" s="90" t="s">
        <v>357</v>
      </c>
      <c r="AL16" s="45"/>
      <c r="AM16" s="90" t="s">
        <v>355</v>
      </c>
      <c r="AN16" s="90" t="s">
        <v>356</v>
      </c>
      <c r="AO16" s="90" t="s">
        <v>357</v>
      </c>
      <c r="AP16" s="45"/>
      <c r="AQ16" s="90" t="s">
        <v>355</v>
      </c>
      <c r="AR16" s="90" t="s">
        <v>356</v>
      </c>
      <c r="AS16" s="90" t="s">
        <v>357</v>
      </c>
      <c r="AT16" s="74" t="s">
        <v>268</v>
      </c>
      <c r="AU16" s="79" t="s">
        <v>355</v>
      </c>
      <c r="AV16" s="79" t="s">
        <v>356</v>
      </c>
      <c r="AW16" s="79" t="s">
        <v>357</v>
      </c>
      <c r="AX16" s="74"/>
      <c r="AY16" s="79" t="s">
        <v>355</v>
      </c>
      <c r="AZ16" s="79" t="s">
        <v>356</v>
      </c>
      <c r="BA16" s="79" t="s">
        <v>357</v>
      </c>
      <c r="BB16" s="74"/>
      <c r="BC16" s="79" t="s">
        <v>355</v>
      </c>
      <c r="BD16" s="79" t="s">
        <v>356</v>
      </c>
      <c r="BE16" s="79" t="s">
        <v>357</v>
      </c>
      <c r="BF16" s="74"/>
      <c r="BG16" s="79" t="s">
        <v>355</v>
      </c>
      <c r="BH16" s="79" t="s">
        <v>356</v>
      </c>
      <c r="BI16" s="79" t="s">
        <v>357</v>
      </c>
      <c r="BJ16" s="74"/>
      <c r="BK16" s="79" t="s">
        <v>355</v>
      </c>
      <c r="BL16" s="79" t="s">
        <v>356</v>
      </c>
      <c r="BM16" s="79" t="s">
        <v>357</v>
      </c>
      <c r="BN16" s="74"/>
      <c r="BO16" s="79" t="s">
        <v>355</v>
      </c>
      <c r="BP16" s="79" t="s">
        <v>356</v>
      </c>
      <c r="BQ16" s="79" t="s">
        <v>357</v>
      </c>
      <c r="BR16" s="74"/>
      <c r="BS16" s="79" t="s">
        <v>355</v>
      </c>
      <c r="BT16" s="79" t="s">
        <v>356</v>
      </c>
      <c r="BU16" s="79" t="s">
        <v>357</v>
      </c>
      <c r="BV16" s="74"/>
      <c r="BW16" s="79" t="s">
        <v>355</v>
      </c>
      <c r="BX16" s="79" t="s">
        <v>356</v>
      </c>
      <c r="BY16" s="79" t="s">
        <v>357</v>
      </c>
      <c r="BZ16" s="74"/>
      <c r="CA16" s="79" t="s">
        <v>355</v>
      </c>
      <c r="CB16" s="79" t="s">
        <v>356</v>
      </c>
      <c r="CC16" s="79" t="s">
        <v>357</v>
      </c>
      <c r="CD16" s="74"/>
      <c r="CE16" s="79" t="s">
        <v>355</v>
      </c>
      <c r="CF16" s="79" t="s">
        <v>356</v>
      </c>
      <c r="CG16" s="79" t="s">
        <v>357</v>
      </c>
      <c r="CH16" s="74"/>
      <c r="CI16" s="79" t="s">
        <v>355</v>
      </c>
      <c r="CJ16" s="79" t="s">
        <v>356</v>
      </c>
      <c r="CK16" s="79" t="s">
        <v>357</v>
      </c>
      <c r="CL16" s="74"/>
      <c r="CM16" s="79" t="s">
        <v>355</v>
      </c>
      <c r="CN16" s="79" t="s">
        <v>356</v>
      </c>
      <c r="CO16" s="79" t="s">
        <v>357</v>
      </c>
      <c r="CP16" s="74"/>
      <c r="CQ16" s="79" t="s">
        <v>355</v>
      </c>
      <c r="CR16" s="79" t="s">
        <v>356</v>
      </c>
      <c r="CS16" s="79" t="s">
        <v>357</v>
      </c>
      <c r="CT16" s="74"/>
      <c r="CU16" s="79" t="s">
        <v>355</v>
      </c>
      <c r="CV16" s="79" t="s">
        <v>356</v>
      </c>
      <c r="CW16" s="79" t="s">
        <v>357</v>
      </c>
      <c r="CX16" s="95"/>
      <c r="CY16" s="93" t="s">
        <v>355</v>
      </c>
      <c r="CZ16" s="93" t="s">
        <v>356</v>
      </c>
      <c r="DA16" s="93" t="s">
        <v>357</v>
      </c>
      <c r="DB16" s="57"/>
      <c r="DC16" s="93" t="s">
        <v>355</v>
      </c>
      <c r="DD16" s="93" t="s">
        <v>356</v>
      </c>
      <c r="DE16" s="93" t="s">
        <v>357</v>
      </c>
      <c r="DF16" s="95"/>
      <c r="DG16" s="93" t="s">
        <v>355</v>
      </c>
      <c r="DH16" s="93" t="s">
        <v>356</v>
      </c>
      <c r="DI16" s="93" t="s">
        <v>357</v>
      </c>
      <c r="DJ16" s="95"/>
      <c r="DK16" s="93" t="s">
        <v>355</v>
      </c>
      <c r="DL16" s="93" t="s">
        <v>356</v>
      </c>
      <c r="DM16" s="93" t="s">
        <v>357</v>
      </c>
      <c r="DN16" s="95"/>
      <c r="DO16" s="93" t="s">
        <v>355</v>
      </c>
      <c r="DP16" s="93" t="s">
        <v>356</v>
      </c>
      <c r="DQ16" s="93" t="s">
        <v>357</v>
      </c>
      <c r="DR16" s="95"/>
      <c r="DS16" s="93" t="s">
        <v>355</v>
      </c>
      <c r="DT16" s="93" t="s">
        <v>356</v>
      </c>
      <c r="DU16" s="93" t="s">
        <v>357</v>
      </c>
      <c r="DV16" s="95"/>
      <c r="DW16" s="93" t="s">
        <v>355</v>
      </c>
      <c r="DX16" s="93" t="s">
        <v>356</v>
      </c>
      <c r="DY16" s="93" t="s">
        <v>357</v>
      </c>
      <c r="DZ16" s="95"/>
      <c r="EA16" s="93" t="s">
        <v>355</v>
      </c>
      <c r="EB16" s="93" t="s">
        <v>356</v>
      </c>
      <c r="EC16" s="93" t="s">
        <v>357</v>
      </c>
      <c r="ED16" s="95"/>
      <c r="EE16" s="93" t="s">
        <v>355</v>
      </c>
      <c r="EF16" s="93" t="s">
        <v>356</v>
      </c>
      <c r="EG16" s="93" t="s">
        <v>357</v>
      </c>
      <c r="EH16" s="95"/>
      <c r="EI16" s="93" t="s">
        <v>355</v>
      </c>
      <c r="EJ16" s="93" t="s">
        <v>356</v>
      </c>
      <c r="EK16" s="93" t="s">
        <v>357</v>
      </c>
      <c r="EL16" s="93"/>
      <c r="EM16" s="93" t="s">
        <v>355</v>
      </c>
      <c r="EN16" s="93" t="s">
        <v>356</v>
      </c>
      <c r="EO16" s="93" t="s">
        <v>357</v>
      </c>
      <c r="EP16" s="57"/>
      <c r="EQ16" s="93" t="s">
        <v>355</v>
      </c>
      <c r="ER16" s="93" t="s">
        <v>356</v>
      </c>
      <c r="ES16" s="93" t="s">
        <v>357</v>
      </c>
      <c r="ET16" s="57"/>
      <c r="EU16" s="93" t="s">
        <v>355</v>
      </c>
      <c r="EV16" s="93" t="s">
        <v>356</v>
      </c>
      <c r="EW16" s="93" t="s">
        <v>357</v>
      </c>
      <c r="EX16" s="57"/>
      <c r="EY16" s="93" t="s">
        <v>355</v>
      </c>
      <c r="EZ16" s="93" t="s">
        <v>356</v>
      </c>
      <c r="FA16" s="93" t="s">
        <v>357</v>
      </c>
      <c r="FB16" s="95"/>
      <c r="FC16" s="93" t="s">
        <v>355</v>
      </c>
      <c r="FD16" s="93" t="s">
        <v>356</v>
      </c>
      <c r="FE16" s="93" t="s">
        <v>357</v>
      </c>
      <c r="FF16" s="95"/>
      <c r="FG16" s="93" t="s">
        <v>355</v>
      </c>
      <c r="FH16" s="93" t="s">
        <v>356</v>
      </c>
      <c r="FI16" s="93" t="s">
        <v>357</v>
      </c>
      <c r="FJ16" s="95"/>
      <c r="FK16" s="93" t="s">
        <v>355</v>
      </c>
      <c r="FL16" s="93" t="s">
        <v>356</v>
      </c>
      <c r="FM16" s="93" t="s">
        <v>357</v>
      </c>
      <c r="FN16" s="135"/>
      <c r="FO16" s="136" t="s">
        <v>355</v>
      </c>
      <c r="FP16" s="136" t="s">
        <v>356</v>
      </c>
      <c r="FQ16" s="136" t="s">
        <v>357</v>
      </c>
    </row>
    <row r="17" spans="1:173" s="4" customFormat="1" x14ac:dyDescent="0.25">
      <c r="A17" s="49" t="s">
        <v>96</v>
      </c>
      <c r="B17" s="89"/>
      <c r="C17" s="89"/>
      <c r="D17" s="89"/>
      <c r="E17" s="89"/>
      <c r="F17" s="89"/>
      <c r="G17" s="89"/>
      <c r="H17" s="89"/>
      <c r="I17" s="89"/>
      <c r="J17" s="86"/>
      <c r="K17" s="89"/>
      <c r="L17" s="89"/>
      <c r="M17" s="89"/>
      <c r="N17" s="86"/>
      <c r="O17" s="89"/>
      <c r="P17" s="89"/>
      <c r="Q17" s="89"/>
      <c r="R17" s="86"/>
      <c r="S17" s="89"/>
      <c r="T17" s="89"/>
      <c r="U17" s="89"/>
      <c r="V17" s="86"/>
      <c r="W17" s="89"/>
      <c r="X17" s="89"/>
      <c r="Y17" s="89"/>
      <c r="Z17" s="86"/>
      <c r="AA17" s="89"/>
      <c r="AB17" s="89"/>
      <c r="AC17" s="89"/>
      <c r="AD17" s="86"/>
      <c r="AE17" s="89"/>
      <c r="AF17" s="89"/>
      <c r="AG17" s="89"/>
      <c r="AH17" s="86"/>
      <c r="AI17" s="89"/>
      <c r="AJ17" s="89"/>
      <c r="AK17" s="89"/>
      <c r="AL17" s="86">
        <v>0</v>
      </c>
      <c r="AM17" s="89"/>
      <c r="AN17" s="89"/>
      <c r="AO17" s="89"/>
      <c r="AP17" s="86">
        <v>0</v>
      </c>
      <c r="AQ17" s="89"/>
      <c r="AR17" s="89"/>
      <c r="AS17" s="89"/>
      <c r="AT17" s="75">
        <v>0</v>
      </c>
      <c r="AU17" s="75"/>
      <c r="AV17" s="75"/>
      <c r="AW17" s="75"/>
      <c r="AX17" s="75">
        <v>0</v>
      </c>
      <c r="AY17" s="75"/>
      <c r="AZ17" s="75"/>
      <c r="BA17" s="75"/>
      <c r="BB17" s="75"/>
      <c r="BC17" s="75"/>
      <c r="BD17" s="75"/>
      <c r="BE17" s="75"/>
      <c r="BF17" s="75">
        <v>0</v>
      </c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  <c r="BW17" s="75"/>
      <c r="BX17" s="75"/>
      <c r="BY17" s="75"/>
      <c r="BZ17" s="75">
        <v>0</v>
      </c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75"/>
      <c r="CW17" s="75"/>
      <c r="CX17" s="94">
        <v>0.2</v>
      </c>
      <c r="CY17" s="94"/>
      <c r="CZ17" s="94"/>
      <c r="DA17" s="94"/>
      <c r="DB17" s="94">
        <v>0</v>
      </c>
      <c r="DC17" s="94"/>
      <c r="DD17" s="94"/>
      <c r="DE17" s="94"/>
      <c r="DF17" s="94">
        <v>0</v>
      </c>
      <c r="DG17" s="94"/>
      <c r="DH17" s="94"/>
      <c r="DI17" s="94"/>
      <c r="DJ17" s="94">
        <v>0</v>
      </c>
      <c r="DK17" s="94"/>
      <c r="DL17" s="94"/>
      <c r="DM17" s="94"/>
      <c r="DN17" s="94">
        <v>0.08</v>
      </c>
      <c r="DO17" s="94"/>
      <c r="DP17" s="94"/>
      <c r="DQ17" s="94"/>
      <c r="DR17" s="94">
        <v>0.05</v>
      </c>
      <c r="DS17" s="94"/>
      <c r="DT17" s="94"/>
      <c r="DU17" s="94"/>
      <c r="DV17" s="94">
        <v>7.0000000000000007E-2</v>
      </c>
      <c r="DW17" s="94"/>
      <c r="DX17" s="94"/>
      <c r="DY17" s="94"/>
      <c r="DZ17" s="94">
        <v>0</v>
      </c>
      <c r="EA17" s="94"/>
      <c r="EB17" s="94"/>
      <c r="EC17" s="94"/>
      <c r="ED17" s="94">
        <v>0.1</v>
      </c>
      <c r="EE17" s="94"/>
      <c r="EF17" s="94"/>
      <c r="EG17" s="94"/>
      <c r="EH17" s="94">
        <v>0</v>
      </c>
      <c r="EI17" s="94"/>
      <c r="EJ17" s="94"/>
      <c r="EK17" s="94"/>
      <c r="EL17" s="94">
        <v>0</v>
      </c>
      <c r="EM17" s="94"/>
      <c r="EN17" s="94"/>
      <c r="EO17" s="94"/>
      <c r="EP17" s="94">
        <v>0</v>
      </c>
      <c r="EQ17" s="94"/>
      <c r="ER17" s="94"/>
      <c r="ES17" s="94"/>
      <c r="ET17" s="94">
        <v>0</v>
      </c>
      <c r="EU17" s="94"/>
      <c r="EV17" s="94"/>
      <c r="EW17" s="94"/>
      <c r="EX17" s="94">
        <v>0</v>
      </c>
      <c r="EY17" s="94"/>
      <c r="EZ17" s="94"/>
      <c r="FA17" s="94"/>
      <c r="FB17" s="94">
        <v>0.02</v>
      </c>
      <c r="FC17" s="94"/>
      <c r="FD17" s="94"/>
      <c r="FE17" s="94"/>
      <c r="FF17" s="94">
        <v>0.31</v>
      </c>
      <c r="FG17" s="94"/>
      <c r="FH17" s="94"/>
      <c r="FI17" s="94"/>
      <c r="FJ17" s="94">
        <v>0</v>
      </c>
      <c r="FK17" s="94"/>
      <c r="FL17" s="94"/>
      <c r="FM17" s="94"/>
      <c r="FN17" s="137"/>
      <c r="FO17" s="137"/>
      <c r="FP17" s="137"/>
      <c r="FQ17" s="137"/>
    </row>
    <row r="18" spans="1:173" s="4" customFormat="1" x14ac:dyDescent="0.25">
      <c r="A18" s="49" t="s">
        <v>92</v>
      </c>
      <c r="B18" s="89"/>
      <c r="C18" s="89"/>
      <c r="D18" s="89"/>
      <c r="E18" s="89"/>
      <c r="F18" s="89"/>
      <c r="G18" s="89"/>
      <c r="H18" s="89"/>
      <c r="I18" s="89"/>
      <c r="J18" s="86"/>
      <c r="K18" s="89"/>
      <c r="L18" s="89"/>
      <c r="M18" s="89"/>
      <c r="N18" s="86"/>
      <c r="O18" s="89"/>
      <c r="P18" s="89"/>
      <c r="Q18" s="89"/>
      <c r="R18" s="86"/>
      <c r="S18" s="89"/>
      <c r="T18" s="89"/>
      <c r="U18" s="89"/>
      <c r="V18" s="86"/>
      <c r="W18" s="89"/>
      <c r="X18" s="89"/>
      <c r="Y18" s="89"/>
      <c r="Z18" s="86"/>
      <c r="AA18" s="89"/>
      <c r="AB18" s="89"/>
      <c r="AC18" s="89"/>
      <c r="AD18" s="86"/>
      <c r="AE18" s="89"/>
      <c r="AF18" s="89"/>
      <c r="AG18" s="89"/>
      <c r="AH18" s="86"/>
      <c r="AI18" s="89"/>
      <c r="AJ18" s="89"/>
      <c r="AK18" s="89"/>
      <c r="AL18" s="86">
        <v>0.88</v>
      </c>
      <c r="AM18" s="89"/>
      <c r="AN18" s="89"/>
      <c r="AO18" s="89"/>
      <c r="AP18" s="86">
        <v>0.75</v>
      </c>
      <c r="AQ18" s="89"/>
      <c r="AR18" s="89" t="s">
        <v>713</v>
      </c>
      <c r="AS18" s="89"/>
      <c r="AT18" s="71">
        <v>1</v>
      </c>
      <c r="AU18" s="75"/>
      <c r="AV18" s="75"/>
      <c r="AW18" s="75"/>
      <c r="AX18" s="71">
        <v>1</v>
      </c>
      <c r="AY18" s="75"/>
      <c r="AZ18" s="75"/>
      <c r="BA18" s="75"/>
      <c r="BB18" s="75"/>
      <c r="BC18" s="75"/>
      <c r="BD18" s="75"/>
      <c r="BE18" s="75"/>
      <c r="BF18" s="71">
        <v>1</v>
      </c>
      <c r="BG18" s="75">
        <v>0.5</v>
      </c>
      <c r="BH18" s="75" t="s">
        <v>359</v>
      </c>
      <c r="BI18" s="75" t="s">
        <v>360</v>
      </c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  <c r="BW18" s="75"/>
      <c r="BX18" s="75"/>
      <c r="BY18" s="75"/>
      <c r="BZ18" s="71">
        <v>1</v>
      </c>
      <c r="CA18" s="75"/>
      <c r="CB18" s="75"/>
      <c r="CC18" s="75"/>
      <c r="CD18" s="75"/>
      <c r="CE18" s="75"/>
      <c r="CF18" s="75"/>
      <c r="CG18" s="75"/>
      <c r="CH18" s="75"/>
      <c r="CI18" s="75"/>
      <c r="CJ18" s="75"/>
      <c r="CK18" s="75"/>
      <c r="CL18" s="75"/>
      <c r="CM18" s="75"/>
      <c r="CN18" s="75"/>
      <c r="CO18" s="75"/>
      <c r="CP18" s="75"/>
      <c r="CQ18" s="75"/>
      <c r="CR18" s="75"/>
      <c r="CS18" s="75"/>
      <c r="CT18" s="75"/>
      <c r="CU18" s="75"/>
      <c r="CV18" s="75"/>
      <c r="CW18" s="75"/>
      <c r="CX18" s="94">
        <v>0.9</v>
      </c>
      <c r="CY18" s="94"/>
      <c r="CZ18" s="94"/>
      <c r="DA18" s="94"/>
      <c r="DB18" s="94">
        <v>1</v>
      </c>
      <c r="DC18" s="94"/>
      <c r="DD18" s="94"/>
      <c r="DE18" s="94"/>
      <c r="DF18" s="94">
        <v>0.215</v>
      </c>
      <c r="DG18" s="94">
        <v>0.215</v>
      </c>
      <c r="DH18" s="94" t="s">
        <v>699</v>
      </c>
      <c r="DI18" s="94" t="s">
        <v>700</v>
      </c>
      <c r="DJ18" s="94">
        <v>0.33600000000000002</v>
      </c>
      <c r="DK18" s="94"/>
      <c r="DL18" s="94"/>
      <c r="DM18" s="94"/>
      <c r="DN18" s="94">
        <v>0.05</v>
      </c>
      <c r="DO18" s="94"/>
      <c r="DP18" s="94"/>
      <c r="DQ18" s="94"/>
      <c r="DR18" s="94">
        <v>0.77</v>
      </c>
      <c r="DS18" s="94"/>
      <c r="DT18" s="94"/>
      <c r="DU18" s="94"/>
      <c r="DV18" s="94">
        <v>0.1</v>
      </c>
      <c r="DW18" s="94" t="s">
        <v>731</v>
      </c>
      <c r="DX18" s="94" t="s">
        <v>732</v>
      </c>
      <c r="DY18" s="94"/>
      <c r="DZ18" s="94">
        <v>0.05</v>
      </c>
      <c r="EA18" s="94"/>
      <c r="EB18" s="94"/>
      <c r="EC18" s="94"/>
      <c r="ED18" s="94">
        <v>0.65</v>
      </c>
      <c r="EE18" s="94"/>
      <c r="EF18" s="94"/>
      <c r="EG18" s="94"/>
      <c r="EH18" s="94">
        <v>0.54</v>
      </c>
      <c r="EI18" s="94"/>
      <c r="EJ18" s="94"/>
      <c r="EK18" s="94"/>
      <c r="EL18" s="94">
        <v>0.08</v>
      </c>
      <c r="EM18" s="94"/>
      <c r="EN18" s="94"/>
      <c r="EO18" s="94"/>
      <c r="EP18" s="94">
        <v>0.05</v>
      </c>
      <c r="EQ18" s="94"/>
      <c r="ER18" s="94"/>
      <c r="ES18" s="94"/>
      <c r="ET18" s="94">
        <v>1</v>
      </c>
      <c r="EU18" s="94"/>
      <c r="EV18" s="94"/>
      <c r="EW18" s="94"/>
      <c r="EX18" s="94">
        <v>0.25</v>
      </c>
      <c r="EY18" s="94"/>
      <c r="EZ18" s="94"/>
      <c r="FA18" s="94"/>
      <c r="FB18" s="94">
        <v>0.03</v>
      </c>
      <c r="FC18" s="94"/>
      <c r="FD18" s="94"/>
      <c r="FE18" s="94"/>
      <c r="FF18" s="94">
        <v>0.7</v>
      </c>
      <c r="FG18" s="94"/>
      <c r="FH18" s="94"/>
      <c r="FI18" s="94"/>
      <c r="FJ18" s="94">
        <v>0.8</v>
      </c>
      <c r="FK18" s="94"/>
      <c r="FL18" s="94"/>
      <c r="FM18" s="94"/>
      <c r="FN18" s="137"/>
      <c r="FO18" s="137"/>
      <c r="FP18" s="137"/>
      <c r="FQ18" s="137"/>
    </row>
    <row r="19" spans="1:173" s="4" customFormat="1" x14ac:dyDescent="0.25">
      <c r="A19" s="49" t="s">
        <v>94</v>
      </c>
      <c r="B19" s="89"/>
      <c r="C19" s="89"/>
      <c r="D19" s="89"/>
      <c r="E19" s="89"/>
      <c r="F19" s="89"/>
      <c r="G19" s="89"/>
      <c r="H19" s="89"/>
      <c r="I19" s="89"/>
      <c r="J19" s="86"/>
      <c r="K19" s="89"/>
      <c r="L19" s="89"/>
      <c r="M19" s="89"/>
      <c r="N19" s="86"/>
      <c r="O19" s="89"/>
      <c r="P19" s="89"/>
      <c r="Q19" s="89"/>
      <c r="R19" s="86"/>
      <c r="S19" s="89"/>
      <c r="T19" s="89"/>
      <c r="U19" s="89"/>
      <c r="V19" s="86"/>
      <c r="W19" s="89"/>
      <c r="X19" s="89"/>
      <c r="Y19" s="89"/>
      <c r="Z19" s="86"/>
      <c r="AA19" s="89"/>
      <c r="AB19" s="89"/>
      <c r="AC19" s="89"/>
      <c r="AD19" s="86"/>
      <c r="AE19" s="89"/>
      <c r="AF19" s="89"/>
      <c r="AG19" s="89"/>
      <c r="AH19" s="86"/>
      <c r="AI19" s="89"/>
      <c r="AJ19" s="89"/>
      <c r="AK19" s="89"/>
      <c r="AL19" s="86" t="s">
        <v>99</v>
      </c>
      <c r="AM19" s="89"/>
      <c r="AN19" s="89"/>
      <c r="AO19" s="89"/>
      <c r="AP19" s="86" t="s">
        <v>99</v>
      </c>
      <c r="AQ19" s="89"/>
      <c r="AR19" s="89"/>
      <c r="AS19" s="89"/>
      <c r="AT19" s="75" t="s">
        <v>99</v>
      </c>
      <c r="AU19" s="75"/>
      <c r="AV19" s="75"/>
      <c r="AW19" s="75"/>
      <c r="AX19" s="75" t="s">
        <v>99</v>
      </c>
      <c r="AY19" s="75"/>
      <c r="AZ19" s="75"/>
      <c r="BA19" s="75"/>
      <c r="BB19" s="75"/>
      <c r="BC19" s="75"/>
      <c r="BD19" s="75"/>
      <c r="BE19" s="75"/>
      <c r="BF19" s="75" t="s">
        <v>99</v>
      </c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 t="s">
        <v>99</v>
      </c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94" t="s">
        <v>99</v>
      </c>
      <c r="CY19" s="94"/>
      <c r="CZ19" s="94"/>
      <c r="DA19" s="94"/>
      <c r="DB19" s="94" t="s">
        <v>99</v>
      </c>
      <c r="DC19" s="94"/>
      <c r="DD19" s="94"/>
      <c r="DE19" s="94"/>
      <c r="DF19" s="94" t="s">
        <v>709</v>
      </c>
      <c r="DG19" s="94" t="s">
        <v>703</v>
      </c>
      <c r="DH19" s="94" t="s">
        <v>704</v>
      </c>
      <c r="DI19" s="94"/>
      <c r="DJ19" s="94" t="s">
        <v>99</v>
      </c>
      <c r="DK19" s="94"/>
      <c r="DL19" s="94"/>
      <c r="DM19" s="94"/>
      <c r="DN19" s="94" t="s">
        <v>340</v>
      </c>
      <c r="DO19" s="94"/>
      <c r="DP19" s="94"/>
      <c r="DQ19" s="94"/>
      <c r="DR19" s="94" t="s">
        <v>343</v>
      </c>
      <c r="DS19" s="94"/>
      <c r="DT19" s="94"/>
      <c r="DU19" s="94"/>
      <c r="DV19" s="94" t="s">
        <v>99</v>
      </c>
      <c r="DW19" s="94"/>
      <c r="DX19" s="94" t="s">
        <v>734</v>
      </c>
      <c r="DY19" s="94"/>
      <c r="DZ19" s="94" t="s">
        <v>345</v>
      </c>
      <c r="EA19" s="94"/>
      <c r="EB19" s="94"/>
      <c r="EC19" s="94"/>
      <c r="ED19" s="94" t="s">
        <v>348</v>
      </c>
      <c r="EE19" s="94"/>
      <c r="EF19" s="94"/>
      <c r="EG19" s="94"/>
      <c r="EH19" s="94" t="s">
        <v>261</v>
      </c>
      <c r="EI19" s="94"/>
      <c r="EJ19" s="94"/>
      <c r="EK19" s="94"/>
      <c r="EL19" s="94" t="s">
        <v>742</v>
      </c>
      <c r="EM19" s="94"/>
      <c r="EN19" s="94"/>
      <c r="EO19" s="94"/>
      <c r="EP19" s="94" t="s">
        <v>723</v>
      </c>
      <c r="EQ19" s="94" t="s">
        <v>719</v>
      </c>
      <c r="ER19" s="94" t="s">
        <v>718</v>
      </c>
      <c r="ES19" s="94"/>
      <c r="ET19" s="94" t="s">
        <v>99</v>
      </c>
      <c r="EU19" s="94"/>
      <c r="EV19" s="94"/>
      <c r="EW19" s="94"/>
      <c r="EX19" s="94" t="s">
        <v>259</v>
      </c>
      <c r="EY19" s="94"/>
      <c r="EZ19" s="94"/>
      <c r="FA19" s="94"/>
      <c r="FB19" s="94" t="s">
        <v>260</v>
      </c>
      <c r="FC19" s="94"/>
      <c r="FD19" s="94"/>
      <c r="FE19" s="94"/>
      <c r="FF19" s="94" t="s">
        <v>354</v>
      </c>
      <c r="FG19" s="94"/>
      <c r="FH19" s="94"/>
      <c r="FI19" s="94"/>
      <c r="FJ19" s="94" t="s">
        <v>340</v>
      </c>
      <c r="FK19" s="94"/>
      <c r="FL19" s="94"/>
      <c r="FM19" s="94"/>
      <c r="FN19" s="137"/>
      <c r="FO19" s="137"/>
      <c r="FP19" s="137"/>
      <c r="FQ19" s="137"/>
    </row>
    <row r="20" spans="1:173" s="4" customFormat="1" x14ac:dyDescent="0.25">
      <c r="A20" s="49" t="s">
        <v>372</v>
      </c>
      <c r="B20" s="89"/>
      <c r="C20" s="89"/>
      <c r="D20" s="89"/>
      <c r="E20" s="89"/>
      <c r="F20" s="89"/>
      <c r="G20" s="89"/>
      <c r="H20" s="89"/>
      <c r="I20" s="89"/>
      <c r="J20" s="86"/>
      <c r="K20" s="89"/>
      <c r="L20" s="89"/>
      <c r="M20" s="89"/>
      <c r="N20" s="86"/>
      <c r="O20" s="89"/>
      <c r="P20" s="89"/>
      <c r="Q20" s="89"/>
      <c r="R20" s="86"/>
      <c r="S20" s="89"/>
      <c r="T20" s="89"/>
      <c r="U20" s="89"/>
      <c r="V20" s="86"/>
      <c r="W20" s="89"/>
      <c r="X20" s="89"/>
      <c r="Y20" s="89"/>
      <c r="Z20" s="86"/>
      <c r="AA20" s="89"/>
      <c r="AB20" s="89"/>
      <c r="AC20" s="89"/>
      <c r="AD20" s="86"/>
      <c r="AE20" s="89"/>
      <c r="AF20" s="89"/>
      <c r="AG20" s="89"/>
      <c r="AH20" s="86"/>
      <c r="AI20" s="89"/>
      <c r="AJ20" s="89"/>
      <c r="AK20" s="89"/>
      <c r="AL20" s="86" t="s">
        <v>99</v>
      </c>
      <c r="AM20" s="89"/>
      <c r="AN20" s="89"/>
      <c r="AO20" s="89"/>
      <c r="AP20" s="86" t="s">
        <v>99</v>
      </c>
      <c r="AQ20" s="89"/>
      <c r="AR20" s="89"/>
      <c r="AS20" s="89"/>
      <c r="AT20" s="75" t="s">
        <v>99</v>
      </c>
      <c r="AU20" s="75"/>
      <c r="AV20" s="75"/>
      <c r="AW20" s="75"/>
      <c r="AX20" s="75" t="s">
        <v>99</v>
      </c>
      <c r="AY20" s="75"/>
      <c r="AZ20" s="75"/>
      <c r="BA20" s="75"/>
      <c r="BB20" s="75"/>
      <c r="BC20" s="75"/>
      <c r="BD20" s="75"/>
      <c r="BE20" s="75"/>
      <c r="BF20" s="75" t="s">
        <v>99</v>
      </c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  <c r="BW20" s="75"/>
      <c r="BX20" s="75"/>
      <c r="BY20" s="75"/>
      <c r="BZ20" s="75" t="s">
        <v>99</v>
      </c>
      <c r="CA20" s="75"/>
      <c r="CB20" s="75"/>
      <c r="CC20" s="75"/>
      <c r="CD20" s="75"/>
      <c r="CE20" s="75"/>
      <c r="CF20" s="75"/>
      <c r="CG20" s="75"/>
      <c r="CH20" s="75"/>
      <c r="CI20" s="75"/>
      <c r="CJ20" s="75"/>
      <c r="CK20" s="75"/>
      <c r="CL20" s="76"/>
      <c r="CM20" s="77"/>
      <c r="CN20" s="77"/>
      <c r="CO20" s="75"/>
      <c r="CP20" s="75"/>
      <c r="CQ20" s="75"/>
      <c r="CR20" s="75"/>
      <c r="CS20" s="75"/>
      <c r="CT20" s="75"/>
      <c r="CU20" s="75"/>
      <c r="CV20" s="75"/>
      <c r="CW20" s="75"/>
      <c r="CX20" s="94" t="s">
        <v>615</v>
      </c>
      <c r="CY20" s="94"/>
      <c r="CZ20" s="94"/>
      <c r="DA20" s="94"/>
      <c r="DB20" s="94" t="s">
        <v>99</v>
      </c>
      <c r="DC20" s="94"/>
      <c r="DD20" s="94"/>
      <c r="DE20" s="94"/>
      <c r="DF20" s="94" t="s">
        <v>99</v>
      </c>
      <c r="DG20" s="94"/>
      <c r="DH20" s="94"/>
      <c r="DI20" s="94"/>
      <c r="DJ20" s="94" t="s">
        <v>99</v>
      </c>
      <c r="DK20" s="94"/>
      <c r="DL20" s="94"/>
      <c r="DM20" s="94"/>
      <c r="DN20" s="94" t="s">
        <v>342</v>
      </c>
      <c r="DO20" s="94"/>
      <c r="DP20" s="94"/>
      <c r="DQ20" s="94"/>
      <c r="DR20" s="94" t="s">
        <v>99</v>
      </c>
      <c r="DS20" s="94"/>
      <c r="DT20" s="94"/>
      <c r="DU20" s="94"/>
      <c r="DV20" s="94" t="s">
        <v>736</v>
      </c>
      <c r="DW20" s="94"/>
      <c r="DX20" s="94"/>
      <c r="DY20" s="94"/>
      <c r="DZ20" s="94" t="s">
        <v>346</v>
      </c>
      <c r="EA20" s="94"/>
      <c r="EB20" s="94"/>
      <c r="EC20" s="94"/>
      <c r="ED20" s="94" t="s">
        <v>349</v>
      </c>
      <c r="EE20" s="94"/>
      <c r="EF20" s="94"/>
      <c r="EG20" s="94"/>
      <c r="EH20" s="94" t="s">
        <v>374</v>
      </c>
      <c r="EI20" s="94"/>
      <c r="EJ20" s="94"/>
      <c r="EK20" s="94"/>
      <c r="EL20" s="94" t="s">
        <v>99</v>
      </c>
      <c r="EM20" s="94"/>
      <c r="EN20" s="94"/>
      <c r="EO20" s="94"/>
      <c r="EP20" s="94" t="s">
        <v>724</v>
      </c>
      <c r="EQ20" s="94"/>
      <c r="ER20" s="94"/>
      <c r="ES20" s="94"/>
      <c r="ET20" s="94" t="s">
        <v>130</v>
      </c>
      <c r="EU20" s="94"/>
      <c r="EV20" s="94"/>
      <c r="EW20" s="94"/>
      <c r="EX20" s="94" t="s">
        <v>351</v>
      </c>
      <c r="EY20" s="94"/>
      <c r="EZ20" s="94"/>
      <c r="FA20" s="94"/>
      <c r="FB20" s="94" t="s">
        <v>261</v>
      </c>
      <c r="FC20" s="94"/>
      <c r="FD20" s="94"/>
      <c r="FE20" s="94"/>
      <c r="FF20" s="94" t="s">
        <v>353</v>
      </c>
      <c r="FG20" s="94"/>
      <c r="FH20" s="94"/>
      <c r="FI20" s="94"/>
      <c r="FJ20" s="94" t="s">
        <v>340</v>
      </c>
      <c r="FK20" s="94"/>
      <c r="FL20" s="94"/>
      <c r="FM20" s="94"/>
      <c r="FN20" s="137"/>
      <c r="FO20" s="137"/>
      <c r="FP20" s="137"/>
      <c r="FQ20" s="137"/>
    </row>
    <row r="21" spans="1:173" s="4" customFormat="1" x14ac:dyDescent="0.25">
      <c r="A21" s="49" t="s">
        <v>95</v>
      </c>
      <c r="B21" s="89"/>
      <c r="C21" s="89"/>
      <c r="D21" s="89"/>
      <c r="E21" s="89"/>
      <c r="F21" s="89"/>
      <c r="G21" s="89"/>
      <c r="H21" s="89"/>
      <c r="I21" s="89"/>
      <c r="J21" s="86"/>
      <c r="K21" s="89"/>
      <c r="L21" s="89"/>
      <c r="M21" s="89"/>
      <c r="N21" s="86"/>
      <c r="O21" s="89"/>
      <c r="P21" s="89"/>
      <c r="Q21" s="89"/>
      <c r="R21" s="86"/>
      <c r="S21" s="89"/>
      <c r="T21" s="89"/>
      <c r="U21" s="89"/>
      <c r="V21" s="86"/>
      <c r="W21" s="89"/>
      <c r="X21" s="89"/>
      <c r="Y21" s="89"/>
      <c r="Z21" s="86"/>
      <c r="AA21" s="89"/>
      <c r="AB21" s="89"/>
      <c r="AC21" s="89"/>
      <c r="AD21" s="86"/>
      <c r="AE21" s="89"/>
      <c r="AF21" s="89"/>
      <c r="AG21" s="89"/>
      <c r="AH21" s="86"/>
      <c r="AI21" s="89"/>
      <c r="AJ21" s="89"/>
      <c r="AK21" s="89"/>
      <c r="AL21" s="86" t="s">
        <v>655</v>
      </c>
      <c r="AM21" s="89"/>
      <c r="AN21" s="89"/>
      <c r="AO21" s="89"/>
      <c r="AP21" s="86" t="s">
        <v>715</v>
      </c>
      <c r="AQ21" s="89"/>
      <c r="AR21" s="89"/>
      <c r="AS21" s="89"/>
      <c r="AT21" s="75" t="s">
        <v>613</v>
      </c>
      <c r="AU21" s="75"/>
      <c r="AV21" s="75"/>
      <c r="AW21" s="75"/>
      <c r="AX21" s="75" t="s">
        <v>289</v>
      </c>
      <c r="AY21" s="75"/>
      <c r="AZ21" s="75"/>
      <c r="BA21" s="75"/>
      <c r="BB21" s="75"/>
      <c r="BC21" s="75"/>
      <c r="BD21" s="75"/>
      <c r="BE21" s="75"/>
      <c r="BF21" s="75" t="s">
        <v>392</v>
      </c>
      <c r="BG21" s="75"/>
      <c r="BH21" s="75" t="s">
        <v>359</v>
      </c>
      <c r="BI21" s="75" t="s">
        <v>391</v>
      </c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75"/>
      <c r="BZ21" s="75" t="s">
        <v>691</v>
      </c>
      <c r="CA21" s="75"/>
      <c r="CB21" s="75"/>
      <c r="CC21" s="75"/>
      <c r="CD21" s="75"/>
      <c r="CE21" s="75"/>
      <c r="CF21" s="75"/>
      <c r="CG21" s="75"/>
      <c r="CH21" s="75"/>
      <c r="CI21" s="75"/>
      <c r="CJ21" s="75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94" t="s">
        <v>616</v>
      </c>
      <c r="CY21" s="94"/>
      <c r="CZ21" s="94"/>
      <c r="DA21" s="94"/>
      <c r="DB21" s="94" t="s">
        <v>262</v>
      </c>
      <c r="DC21" s="94"/>
      <c r="DD21" s="94"/>
      <c r="DE21" s="94"/>
      <c r="DF21" s="94" t="s">
        <v>709</v>
      </c>
      <c r="DG21" s="94" t="s">
        <v>701</v>
      </c>
      <c r="DH21" s="94" t="s">
        <v>702</v>
      </c>
      <c r="DI21" s="94"/>
      <c r="DJ21" s="94" t="s">
        <v>263</v>
      </c>
      <c r="DK21" s="94"/>
      <c r="DL21" s="94"/>
      <c r="DM21" s="94"/>
      <c r="DN21" s="94" t="s">
        <v>341</v>
      </c>
      <c r="DO21" s="94"/>
      <c r="DP21" s="94"/>
      <c r="DQ21" s="94"/>
      <c r="DR21" s="94" t="s">
        <v>344</v>
      </c>
      <c r="DS21" s="94"/>
      <c r="DT21" s="94"/>
      <c r="DU21" s="94"/>
      <c r="DV21" s="94" t="s">
        <v>737</v>
      </c>
      <c r="DW21" s="94"/>
      <c r="DX21" s="94" t="s">
        <v>733</v>
      </c>
      <c r="DY21" s="94"/>
      <c r="DZ21" s="94" t="s">
        <v>347</v>
      </c>
      <c r="EA21" s="94"/>
      <c r="EB21" s="94"/>
      <c r="EC21" s="94"/>
      <c r="ED21" s="94" t="s">
        <v>350</v>
      </c>
      <c r="EE21" s="94"/>
      <c r="EF21" s="94"/>
      <c r="EG21" s="94"/>
      <c r="EH21" s="94" t="s">
        <v>265</v>
      </c>
      <c r="EI21" s="94"/>
      <c r="EJ21" s="94"/>
      <c r="EK21" s="94"/>
      <c r="EL21" s="94" t="s">
        <v>743</v>
      </c>
      <c r="EM21" s="94"/>
      <c r="EN21" s="94"/>
      <c r="EO21" s="94"/>
      <c r="EP21" s="94" t="s">
        <v>725</v>
      </c>
      <c r="EQ21" s="94"/>
      <c r="ER21" s="94"/>
      <c r="ES21" s="94"/>
      <c r="ET21" s="94" t="s">
        <v>264</v>
      </c>
      <c r="EU21" s="94"/>
      <c r="EV21" s="94"/>
      <c r="EW21" s="94"/>
      <c r="EX21" s="94" t="s">
        <v>352</v>
      </c>
      <c r="EY21" s="94"/>
      <c r="EZ21" s="94"/>
      <c r="FA21" s="94"/>
      <c r="FB21" s="94" t="s">
        <v>265</v>
      </c>
      <c r="FC21" s="94"/>
      <c r="FD21" s="94"/>
      <c r="FE21" s="94"/>
      <c r="FF21" s="94" t="s">
        <v>346</v>
      </c>
      <c r="FG21" s="94"/>
      <c r="FH21" s="94"/>
      <c r="FI21" s="94"/>
      <c r="FJ21" s="94" t="s">
        <v>375</v>
      </c>
      <c r="FK21" s="94"/>
      <c r="FL21" s="94"/>
      <c r="FM21" s="94"/>
      <c r="FN21" s="137"/>
      <c r="FO21" s="137"/>
      <c r="FP21" s="137"/>
      <c r="FQ21" s="137"/>
    </row>
    <row r="22" spans="1:173" ht="15.75" thickBot="1" x14ac:dyDescent="0.3">
      <c r="A22" s="64" t="s">
        <v>329</v>
      </c>
      <c r="B22" s="45"/>
      <c r="C22" s="90" t="s">
        <v>355</v>
      </c>
      <c r="D22" s="90" t="s">
        <v>356</v>
      </c>
      <c r="E22" s="90" t="s">
        <v>357</v>
      </c>
      <c r="F22" s="45"/>
      <c r="G22" s="90" t="s">
        <v>355</v>
      </c>
      <c r="H22" s="90" t="s">
        <v>356</v>
      </c>
      <c r="I22" s="90" t="s">
        <v>357</v>
      </c>
      <c r="J22" s="45"/>
      <c r="K22" s="90" t="s">
        <v>355</v>
      </c>
      <c r="L22" s="90" t="s">
        <v>356</v>
      </c>
      <c r="M22" s="90" t="s">
        <v>357</v>
      </c>
      <c r="N22" s="45"/>
      <c r="O22" s="90" t="s">
        <v>355</v>
      </c>
      <c r="P22" s="90" t="s">
        <v>356</v>
      </c>
      <c r="Q22" s="90" t="s">
        <v>357</v>
      </c>
      <c r="R22" s="45"/>
      <c r="S22" s="90" t="s">
        <v>355</v>
      </c>
      <c r="T22" s="90" t="s">
        <v>356</v>
      </c>
      <c r="U22" s="90" t="s">
        <v>357</v>
      </c>
      <c r="V22" s="45"/>
      <c r="W22" s="90" t="s">
        <v>355</v>
      </c>
      <c r="X22" s="90" t="s">
        <v>356</v>
      </c>
      <c r="Y22" s="90" t="s">
        <v>357</v>
      </c>
      <c r="Z22" s="45"/>
      <c r="AA22" s="90" t="s">
        <v>355</v>
      </c>
      <c r="AB22" s="90" t="s">
        <v>356</v>
      </c>
      <c r="AC22" s="90" t="s">
        <v>357</v>
      </c>
      <c r="AD22" s="45"/>
      <c r="AE22" s="90" t="s">
        <v>355</v>
      </c>
      <c r="AF22" s="90" t="s">
        <v>356</v>
      </c>
      <c r="AG22" s="90" t="s">
        <v>357</v>
      </c>
      <c r="AH22" s="45"/>
      <c r="AI22" s="90" t="s">
        <v>355</v>
      </c>
      <c r="AJ22" s="90" t="s">
        <v>356</v>
      </c>
      <c r="AK22" s="90" t="s">
        <v>357</v>
      </c>
      <c r="AL22" s="45"/>
      <c r="AM22" s="90" t="s">
        <v>355</v>
      </c>
      <c r="AN22" s="90" t="s">
        <v>356</v>
      </c>
      <c r="AO22" s="90" t="s">
        <v>357</v>
      </c>
      <c r="AP22" s="45"/>
      <c r="AQ22" s="90" t="s">
        <v>355</v>
      </c>
      <c r="AR22" s="90" t="s">
        <v>356</v>
      </c>
      <c r="AS22" s="90" t="s">
        <v>357</v>
      </c>
      <c r="AT22" s="74" t="s">
        <v>268</v>
      </c>
      <c r="AU22" s="79" t="s">
        <v>355</v>
      </c>
      <c r="AV22" s="79" t="s">
        <v>356</v>
      </c>
      <c r="AW22" s="79" t="s">
        <v>357</v>
      </c>
      <c r="AX22" s="74"/>
      <c r="AY22" s="79" t="s">
        <v>355</v>
      </c>
      <c r="AZ22" s="79" t="s">
        <v>356</v>
      </c>
      <c r="BA22" s="79" t="s">
        <v>357</v>
      </c>
      <c r="BB22" s="74"/>
      <c r="BC22" s="79" t="s">
        <v>355</v>
      </c>
      <c r="BD22" s="79" t="s">
        <v>356</v>
      </c>
      <c r="BE22" s="79" t="s">
        <v>357</v>
      </c>
      <c r="BF22" s="74"/>
      <c r="BG22" s="79" t="s">
        <v>355</v>
      </c>
      <c r="BH22" s="79" t="s">
        <v>356</v>
      </c>
      <c r="BI22" s="79" t="s">
        <v>357</v>
      </c>
      <c r="BJ22" s="74"/>
      <c r="BK22" s="79" t="s">
        <v>355</v>
      </c>
      <c r="BL22" s="79" t="s">
        <v>356</v>
      </c>
      <c r="BM22" s="79" t="s">
        <v>357</v>
      </c>
      <c r="BN22" s="74"/>
      <c r="BO22" s="79" t="s">
        <v>355</v>
      </c>
      <c r="BP22" s="79" t="s">
        <v>356</v>
      </c>
      <c r="BQ22" s="79" t="s">
        <v>357</v>
      </c>
      <c r="BR22" s="74"/>
      <c r="BS22" s="79" t="s">
        <v>355</v>
      </c>
      <c r="BT22" s="79" t="s">
        <v>356</v>
      </c>
      <c r="BU22" s="79" t="s">
        <v>357</v>
      </c>
      <c r="BV22" s="74"/>
      <c r="BW22" s="79" t="s">
        <v>355</v>
      </c>
      <c r="BX22" s="79" t="s">
        <v>356</v>
      </c>
      <c r="BY22" s="79" t="s">
        <v>357</v>
      </c>
      <c r="BZ22" s="74"/>
      <c r="CA22" s="79" t="s">
        <v>355</v>
      </c>
      <c r="CB22" s="79" t="s">
        <v>356</v>
      </c>
      <c r="CC22" s="79" t="s">
        <v>357</v>
      </c>
      <c r="CD22" s="74"/>
      <c r="CE22" s="79" t="s">
        <v>355</v>
      </c>
      <c r="CF22" s="79" t="s">
        <v>356</v>
      </c>
      <c r="CG22" s="79" t="s">
        <v>357</v>
      </c>
      <c r="CH22" s="74"/>
      <c r="CI22" s="79" t="s">
        <v>355</v>
      </c>
      <c r="CJ22" s="79" t="s">
        <v>356</v>
      </c>
      <c r="CK22" s="79" t="s">
        <v>357</v>
      </c>
      <c r="CL22" s="74"/>
      <c r="CM22" s="79" t="s">
        <v>355</v>
      </c>
      <c r="CN22" s="79" t="s">
        <v>356</v>
      </c>
      <c r="CO22" s="79" t="s">
        <v>357</v>
      </c>
      <c r="CP22" s="74"/>
      <c r="CQ22" s="79" t="s">
        <v>355</v>
      </c>
      <c r="CR22" s="79" t="s">
        <v>356</v>
      </c>
      <c r="CS22" s="79" t="s">
        <v>357</v>
      </c>
      <c r="CT22" s="74"/>
      <c r="CU22" s="79" t="s">
        <v>355</v>
      </c>
      <c r="CV22" s="79" t="s">
        <v>356</v>
      </c>
      <c r="CW22" s="79" t="s">
        <v>357</v>
      </c>
      <c r="CX22" s="95"/>
      <c r="CY22" s="93" t="s">
        <v>355</v>
      </c>
      <c r="CZ22" s="93" t="s">
        <v>356</v>
      </c>
      <c r="DA22" s="93" t="s">
        <v>357</v>
      </c>
      <c r="DB22" s="57"/>
      <c r="DC22" s="93" t="s">
        <v>355</v>
      </c>
      <c r="DD22" s="93" t="s">
        <v>356</v>
      </c>
      <c r="DE22" s="93" t="s">
        <v>357</v>
      </c>
      <c r="DF22" s="95"/>
      <c r="DG22" s="93" t="s">
        <v>355</v>
      </c>
      <c r="DH22" s="93" t="s">
        <v>356</v>
      </c>
      <c r="DI22" s="93" t="s">
        <v>357</v>
      </c>
      <c r="DJ22" s="95"/>
      <c r="DK22" s="93" t="s">
        <v>355</v>
      </c>
      <c r="DL22" s="93" t="s">
        <v>356</v>
      </c>
      <c r="DM22" s="93" t="s">
        <v>357</v>
      </c>
      <c r="DN22" s="95"/>
      <c r="DO22" s="93" t="s">
        <v>355</v>
      </c>
      <c r="DP22" s="93" t="s">
        <v>356</v>
      </c>
      <c r="DQ22" s="93" t="s">
        <v>357</v>
      </c>
      <c r="DR22" s="95"/>
      <c r="DS22" s="93" t="s">
        <v>355</v>
      </c>
      <c r="DT22" s="93" t="s">
        <v>356</v>
      </c>
      <c r="DU22" s="93" t="s">
        <v>357</v>
      </c>
      <c r="DV22" s="95"/>
      <c r="DW22" s="93" t="s">
        <v>355</v>
      </c>
      <c r="DX22" s="93" t="s">
        <v>356</v>
      </c>
      <c r="DY22" s="93" t="s">
        <v>357</v>
      </c>
      <c r="DZ22" s="95"/>
      <c r="EA22" s="93" t="s">
        <v>355</v>
      </c>
      <c r="EB22" s="93" t="s">
        <v>356</v>
      </c>
      <c r="EC22" s="93" t="s">
        <v>357</v>
      </c>
      <c r="ED22" s="95"/>
      <c r="EE22" s="93" t="s">
        <v>355</v>
      </c>
      <c r="EF22" s="93" t="s">
        <v>356</v>
      </c>
      <c r="EG22" s="93" t="s">
        <v>357</v>
      </c>
      <c r="EH22" s="95"/>
      <c r="EI22" s="93" t="s">
        <v>355</v>
      </c>
      <c r="EJ22" s="93" t="s">
        <v>356</v>
      </c>
      <c r="EK22" s="93" t="s">
        <v>357</v>
      </c>
      <c r="EL22" s="93"/>
      <c r="EM22" s="93" t="s">
        <v>355</v>
      </c>
      <c r="EN22" s="93" t="s">
        <v>356</v>
      </c>
      <c r="EO22" s="93" t="s">
        <v>357</v>
      </c>
      <c r="EP22" s="57"/>
      <c r="EQ22" s="93" t="s">
        <v>355</v>
      </c>
      <c r="ER22" s="93" t="s">
        <v>356</v>
      </c>
      <c r="ES22" s="93" t="s">
        <v>357</v>
      </c>
      <c r="ET22" s="57"/>
      <c r="EU22" s="93" t="s">
        <v>355</v>
      </c>
      <c r="EV22" s="93" t="s">
        <v>356</v>
      </c>
      <c r="EW22" s="93" t="s">
        <v>357</v>
      </c>
      <c r="EX22" s="57"/>
      <c r="EY22" s="93" t="s">
        <v>355</v>
      </c>
      <c r="EZ22" s="93" t="s">
        <v>356</v>
      </c>
      <c r="FA22" s="93" t="s">
        <v>357</v>
      </c>
      <c r="FB22" s="95"/>
      <c r="FC22" s="93" t="s">
        <v>355</v>
      </c>
      <c r="FD22" s="93" t="s">
        <v>356</v>
      </c>
      <c r="FE22" s="93" t="s">
        <v>357</v>
      </c>
      <c r="FF22" s="95"/>
      <c r="FG22" s="93" t="s">
        <v>355</v>
      </c>
      <c r="FH22" s="93" t="s">
        <v>356</v>
      </c>
      <c r="FI22" s="93" t="s">
        <v>357</v>
      </c>
      <c r="FJ22" s="95"/>
      <c r="FK22" s="93" t="s">
        <v>355</v>
      </c>
      <c r="FL22" s="93" t="s">
        <v>356</v>
      </c>
      <c r="FM22" s="93" t="s">
        <v>357</v>
      </c>
      <c r="FN22" s="135"/>
      <c r="FO22" s="136" t="s">
        <v>355</v>
      </c>
      <c r="FP22" s="136" t="s">
        <v>356</v>
      </c>
      <c r="FQ22" s="136" t="s">
        <v>357</v>
      </c>
    </row>
    <row r="23" spans="1:173" s="4" customFormat="1" x14ac:dyDescent="0.25">
      <c r="A23" s="65" t="s">
        <v>325</v>
      </c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 t="s">
        <v>99</v>
      </c>
      <c r="AM23" s="86"/>
      <c r="AN23" s="86"/>
      <c r="AO23" s="86"/>
      <c r="AP23" s="86" t="s">
        <v>99</v>
      </c>
      <c r="AQ23" s="86"/>
      <c r="AR23" s="86"/>
      <c r="AS23" s="86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94" t="str">
        <f>CX20</f>
        <v>0.2 mL/min kg</v>
      </c>
      <c r="CY23" s="94"/>
      <c r="CZ23" s="94"/>
      <c r="DA23" s="94"/>
      <c r="DB23" s="94" t="str">
        <f t="shared" ref="DB23:EH23" si="0">DB20</f>
        <v>0 mL/min kg</v>
      </c>
      <c r="DC23" s="94">
        <f t="shared" si="0"/>
        <v>0</v>
      </c>
      <c r="DD23" s="94">
        <f t="shared" si="0"/>
        <v>0</v>
      </c>
      <c r="DE23" s="94">
        <f t="shared" si="0"/>
        <v>0</v>
      </c>
      <c r="DF23" s="94" t="str">
        <f t="shared" si="0"/>
        <v>0 mL/min kg</v>
      </c>
      <c r="DG23" s="94">
        <f t="shared" si="0"/>
        <v>0</v>
      </c>
      <c r="DH23" s="94">
        <f t="shared" si="0"/>
        <v>0</v>
      </c>
      <c r="DI23" s="94">
        <f t="shared" si="0"/>
        <v>0</v>
      </c>
      <c r="DJ23" s="94" t="str">
        <f t="shared" si="0"/>
        <v>0 mL/min kg</v>
      </c>
      <c r="DK23" s="94">
        <f t="shared" si="0"/>
        <v>0</v>
      </c>
      <c r="DL23" s="94">
        <f t="shared" si="0"/>
        <v>0</v>
      </c>
      <c r="DM23" s="94">
        <f t="shared" si="0"/>
        <v>0</v>
      </c>
      <c r="DN23" s="94" t="str">
        <f t="shared" si="0"/>
        <v>2.25 mL/min kg</v>
      </c>
      <c r="DO23" s="94">
        <f t="shared" si="0"/>
        <v>0</v>
      </c>
      <c r="DP23" s="94">
        <f t="shared" si="0"/>
        <v>0</v>
      </c>
      <c r="DQ23" s="94">
        <f t="shared" si="0"/>
        <v>0</v>
      </c>
      <c r="DR23" s="94" t="str">
        <f t="shared" si="0"/>
        <v>0 mL/min kg</v>
      </c>
      <c r="DS23" s="94">
        <f t="shared" si="0"/>
        <v>0</v>
      </c>
      <c r="DT23" s="94">
        <f t="shared" si="0"/>
        <v>0</v>
      </c>
      <c r="DU23" s="94">
        <f t="shared" si="0"/>
        <v>0</v>
      </c>
      <c r="DV23" s="94" t="str">
        <f t="shared" si="0"/>
        <v>0.05 mL/min kg</v>
      </c>
      <c r="DW23" s="94">
        <f t="shared" si="0"/>
        <v>0</v>
      </c>
      <c r="DX23" s="94">
        <f t="shared" si="0"/>
        <v>0</v>
      </c>
      <c r="DY23" s="94">
        <f t="shared" si="0"/>
        <v>0</v>
      </c>
      <c r="DZ23" s="94" t="str">
        <f t="shared" si="0"/>
        <v>3.5 mL/min kg</v>
      </c>
      <c r="EA23" s="94">
        <f t="shared" si="0"/>
        <v>0</v>
      </c>
      <c r="EB23" s="94">
        <f t="shared" si="0"/>
        <v>0</v>
      </c>
      <c r="EC23" s="94">
        <f t="shared" si="0"/>
        <v>0</v>
      </c>
      <c r="ED23" s="94" t="str">
        <f t="shared" si="0"/>
        <v>1.5 mL/min kg</v>
      </c>
      <c r="EE23" s="94">
        <f t="shared" si="0"/>
        <v>0</v>
      </c>
      <c r="EF23" s="94">
        <f t="shared" si="0"/>
        <v>0</v>
      </c>
      <c r="EG23" s="94">
        <f t="shared" si="0"/>
        <v>0</v>
      </c>
      <c r="EH23" s="94" t="str">
        <f t="shared" si="0"/>
        <v>0.5 mL/min kg</v>
      </c>
      <c r="EI23" s="94">
        <f t="shared" ref="EI23:FJ23" si="1">EI20</f>
        <v>0</v>
      </c>
      <c r="EJ23" s="94">
        <f t="shared" si="1"/>
        <v>0</v>
      </c>
      <c r="EK23" s="94">
        <f t="shared" si="1"/>
        <v>0</v>
      </c>
      <c r="EL23" s="94" t="str">
        <f t="shared" si="1"/>
        <v>0 mL/min kg</v>
      </c>
      <c r="EM23" s="94">
        <f t="shared" si="1"/>
        <v>0</v>
      </c>
      <c r="EN23" s="94">
        <f t="shared" si="1"/>
        <v>0</v>
      </c>
      <c r="EO23" s="94">
        <f t="shared" si="1"/>
        <v>0</v>
      </c>
      <c r="EP23" s="94" t="str">
        <f t="shared" ref="EP23:ES23" si="2">EP20</f>
        <v>45 mL/min kg</v>
      </c>
      <c r="EQ23" s="94">
        <f t="shared" si="2"/>
        <v>0</v>
      </c>
      <c r="ER23" s="94">
        <f t="shared" si="2"/>
        <v>0</v>
      </c>
      <c r="ES23" s="94">
        <f t="shared" si="2"/>
        <v>0</v>
      </c>
      <c r="ET23" s="94" t="str">
        <f t="shared" si="1"/>
        <v>7.2 mL/min kg</v>
      </c>
      <c r="EU23" s="94">
        <f t="shared" si="1"/>
        <v>0</v>
      </c>
      <c r="EV23" s="94">
        <f t="shared" si="1"/>
        <v>0</v>
      </c>
      <c r="EW23" s="94">
        <f t="shared" si="1"/>
        <v>0</v>
      </c>
      <c r="EX23" s="94" t="str">
        <f t="shared" si="1"/>
        <v>0.72 mL/min kg</v>
      </c>
      <c r="EY23" s="94">
        <f t="shared" si="1"/>
        <v>0</v>
      </c>
      <c r="EZ23" s="94">
        <f t="shared" si="1"/>
        <v>0</v>
      </c>
      <c r="FA23" s="94">
        <f t="shared" si="1"/>
        <v>0</v>
      </c>
      <c r="FB23" s="94" t="str">
        <f t="shared" si="1"/>
        <v>1.3 mL/min kg</v>
      </c>
      <c r="FC23" s="94">
        <f t="shared" si="1"/>
        <v>0</v>
      </c>
      <c r="FD23" s="94">
        <f t="shared" si="1"/>
        <v>0</v>
      </c>
      <c r="FE23" s="94">
        <f t="shared" si="1"/>
        <v>0</v>
      </c>
      <c r="FF23" s="94" t="str">
        <f t="shared" si="1"/>
        <v>2.2 mL/min kg</v>
      </c>
      <c r="FG23" s="94">
        <f t="shared" si="1"/>
        <v>0</v>
      </c>
      <c r="FH23" s="94">
        <f t="shared" si="1"/>
        <v>0</v>
      </c>
      <c r="FI23" s="94">
        <f t="shared" si="1"/>
        <v>0</v>
      </c>
      <c r="FJ23" s="94" t="str">
        <f t="shared" si="1"/>
        <v>0.0 mL/min kg</v>
      </c>
      <c r="FK23" s="94"/>
      <c r="FL23" s="94"/>
      <c r="FM23" s="94"/>
      <c r="FN23" s="137"/>
      <c r="FO23" s="137"/>
      <c r="FP23" s="137"/>
      <c r="FQ23" s="137"/>
    </row>
    <row r="24" spans="1:173" ht="15.75" thickBot="1" x14ac:dyDescent="0.3">
      <c r="A24" s="64" t="s">
        <v>324</v>
      </c>
      <c r="B24" s="45"/>
      <c r="C24" s="90" t="s">
        <v>355</v>
      </c>
      <c r="D24" s="90" t="s">
        <v>356</v>
      </c>
      <c r="E24" s="90" t="s">
        <v>357</v>
      </c>
      <c r="F24" s="45"/>
      <c r="G24" s="90" t="s">
        <v>355</v>
      </c>
      <c r="H24" s="90" t="s">
        <v>356</v>
      </c>
      <c r="I24" s="90" t="s">
        <v>357</v>
      </c>
      <c r="J24" s="45"/>
      <c r="K24" s="90" t="s">
        <v>355</v>
      </c>
      <c r="L24" s="90" t="s">
        <v>356</v>
      </c>
      <c r="M24" s="90" t="s">
        <v>357</v>
      </c>
      <c r="N24" s="45"/>
      <c r="O24" s="90" t="s">
        <v>355</v>
      </c>
      <c r="P24" s="90" t="s">
        <v>356</v>
      </c>
      <c r="Q24" s="90" t="s">
        <v>357</v>
      </c>
      <c r="R24" s="45"/>
      <c r="S24" s="90" t="s">
        <v>355</v>
      </c>
      <c r="T24" s="90" t="s">
        <v>356</v>
      </c>
      <c r="U24" s="90" t="s">
        <v>357</v>
      </c>
      <c r="V24" s="45"/>
      <c r="W24" s="90" t="s">
        <v>355</v>
      </c>
      <c r="X24" s="90" t="s">
        <v>356</v>
      </c>
      <c r="Y24" s="90" t="s">
        <v>357</v>
      </c>
      <c r="Z24" s="45"/>
      <c r="AA24" s="90" t="s">
        <v>355</v>
      </c>
      <c r="AB24" s="90" t="s">
        <v>356</v>
      </c>
      <c r="AC24" s="90" t="s">
        <v>357</v>
      </c>
      <c r="AD24" s="45"/>
      <c r="AE24" s="90" t="s">
        <v>355</v>
      </c>
      <c r="AF24" s="90" t="s">
        <v>356</v>
      </c>
      <c r="AG24" s="90" t="s">
        <v>357</v>
      </c>
      <c r="AH24" s="45"/>
      <c r="AI24" s="90" t="s">
        <v>355</v>
      </c>
      <c r="AJ24" s="90" t="s">
        <v>356</v>
      </c>
      <c r="AK24" s="90" t="s">
        <v>357</v>
      </c>
      <c r="AL24" s="45"/>
      <c r="AM24" s="90" t="s">
        <v>355</v>
      </c>
      <c r="AN24" s="90" t="s">
        <v>356</v>
      </c>
      <c r="AO24" s="90" t="s">
        <v>357</v>
      </c>
      <c r="AP24" s="45"/>
      <c r="AQ24" s="90" t="s">
        <v>355</v>
      </c>
      <c r="AR24" s="90" t="s">
        <v>356</v>
      </c>
      <c r="AS24" s="90" t="s">
        <v>357</v>
      </c>
      <c r="AT24" s="74" t="s">
        <v>268</v>
      </c>
      <c r="AU24" s="79" t="s">
        <v>355</v>
      </c>
      <c r="AV24" s="79" t="s">
        <v>356</v>
      </c>
      <c r="AW24" s="79" t="s">
        <v>357</v>
      </c>
      <c r="AX24" s="74"/>
      <c r="AY24" s="79" t="s">
        <v>355</v>
      </c>
      <c r="AZ24" s="79" t="s">
        <v>356</v>
      </c>
      <c r="BA24" s="79" t="s">
        <v>357</v>
      </c>
      <c r="BB24" s="74"/>
      <c r="BC24" s="79" t="s">
        <v>355</v>
      </c>
      <c r="BD24" s="79" t="s">
        <v>356</v>
      </c>
      <c r="BE24" s="79" t="s">
        <v>357</v>
      </c>
      <c r="BF24" s="74"/>
      <c r="BG24" s="79" t="s">
        <v>355</v>
      </c>
      <c r="BH24" s="79" t="s">
        <v>356</v>
      </c>
      <c r="BI24" s="79" t="s">
        <v>357</v>
      </c>
      <c r="BJ24" s="74"/>
      <c r="BK24" s="79" t="s">
        <v>355</v>
      </c>
      <c r="BL24" s="79" t="s">
        <v>356</v>
      </c>
      <c r="BM24" s="79" t="s">
        <v>357</v>
      </c>
      <c r="BN24" s="74"/>
      <c r="BO24" s="79" t="s">
        <v>355</v>
      </c>
      <c r="BP24" s="79" t="s">
        <v>356</v>
      </c>
      <c r="BQ24" s="79" t="s">
        <v>357</v>
      </c>
      <c r="BR24" s="74"/>
      <c r="BS24" s="79" t="s">
        <v>355</v>
      </c>
      <c r="BT24" s="79" t="s">
        <v>356</v>
      </c>
      <c r="BU24" s="79" t="s">
        <v>357</v>
      </c>
      <c r="BV24" s="74"/>
      <c r="BW24" s="79" t="s">
        <v>355</v>
      </c>
      <c r="BX24" s="79" t="s">
        <v>356</v>
      </c>
      <c r="BY24" s="79" t="s">
        <v>357</v>
      </c>
      <c r="BZ24" s="74"/>
      <c r="CA24" s="79" t="s">
        <v>355</v>
      </c>
      <c r="CB24" s="79" t="s">
        <v>356</v>
      </c>
      <c r="CC24" s="79" t="s">
        <v>357</v>
      </c>
      <c r="CD24" s="74"/>
      <c r="CE24" s="79" t="s">
        <v>355</v>
      </c>
      <c r="CF24" s="79" t="s">
        <v>356</v>
      </c>
      <c r="CG24" s="79" t="s">
        <v>357</v>
      </c>
      <c r="CH24" s="74"/>
      <c r="CI24" s="79" t="s">
        <v>355</v>
      </c>
      <c r="CJ24" s="79" t="s">
        <v>356</v>
      </c>
      <c r="CK24" s="79" t="s">
        <v>357</v>
      </c>
      <c r="CL24" s="74"/>
      <c r="CM24" s="79" t="s">
        <v>355</v>
      </c>
      <c r="CN24" s="79" t="s">
        <v>356</v>
      </c>
      <c r="CO24" s="79" t="s">
        <v>357</v>
      </c>
      <c r="CP24" s="74"/>
      <c r="CQ24" s="79" t="s">
        <v>355</v>
      </c>
      <c r="CR24" s="79" t="s">
        <v>356</v>
      </c>
      <c r="CS24" s="79" t="s">
        <v>357</v>
      </c>
      <c r="CT24" s="74"/>
      <c r="CU24" s="79" t="s">
        <v>355</v>
      </c>
      <c r="CV24" s="79" t="s">
        <v>356</v>
      </c>
      <c r="CW24" s="79" t="s">
        <v>357</v>
      </c>
      <c r="CX24" s="95"/>
      <c r="CY24" s="93" t="s">
        <v>355</v>
      </c>
      <c r="CZ24" s="93" t="s">
        <v>356</v>
      </c>
      <c r="DA24" s="93" t="s">
        <v>357</v>
      </c>
      <c r="DB24" s="57"/>
      <c r="DC24" s="93" t="s">
        <v>355</v>
      </c>
      <c r="DD24" s="93" t="s">
        <v>356</v>
      </c>
      <c r="DE24" s="93" t="s">
        <v>357</v>
      </c>
      <c r="DF24" s="95"/>
      <c r="DG24" s="93" t="s">
        <v>355</v>
      </c>
      <c r="DH24" s="93" t="s">
        <v>356</v>
      </c>
      <c r="DI24" s="93" t="s">
        <v>357</v>
      </c>
      <c r="DJ24" s="95"/>
      <c r="DK24" s="93" t="s">
        <v>355</v>
      </c>
      <c r="DL24" s="93" t="s">
        <v>356</v>
      </c>
      <c r="DM24" s="93" t="s">
        <v>357</v>
      </c>
      <c r="DN24" s="95"/>
      <c r="DO24" s="93" t="s">
        <v>355</v>
      </c>
      <c r="DP24" s="93" t="s">
        <v>356</v>
      </c>
      <c r="DQ24" s="93" t="s">
        <v>357</v>
      </c>
      <c r="DR24" s="95"/>
      <c r="DS24" s="93" t="s">
        <v>355</v>
      </c>
      <c r="DT24" s="93" t="s">
        <v>356</v>
      </c>
      <c r="DU24" s="93" t="s">
        <v>357</v>
      </c>
      <c r="DV24" s="95"/>
      <c r="DW24" s="93" t="s">
        <v>355</v>
      </c>
      <c r="DX24" s="93" t="s">
        <v>356</v>
      </c>
      <c r="DY24" s="93" t="s">
        <v>357</v>
      </c>
      <c r="DZ24" s="95"/>
      <c r="EA24" s="93" t="s">
        <v>355</v>
      </c>
      <c r="EB24" s="93" t="s">
        <v>356</v>
      </c>
      <c r="EC24" s="93" t="s">
        <v>357</v>
      </c>
      <c r="ED24" s="95"/>
      <c r="EE24" s="93" t="s">
        <v>355</v>
      </c>
      <c r="EF24" s="93" t="s">
        <v>356</v>
      </c>
      <c r="EG24" s="93" t="s">
        <v>357</v>
      </c>
      <c r="EH24" s="95"/>
      <c r="EI24" s="93" t="s">
        <v>355</v>
      </c>
      <c r="EJ24" s="93" t="s">
        <v>356</v>
      </c>
      <c r="EK24" s="93" t="s">
        <v>357</v>
      </c>
      <c r="EL24" s="93"/>
      <c r="EM24" s="93" t="s">
        <v>355</v>
      </c>
      <c r="EN24" s="93" t="s">
        <v>356</v>
      </c>
      <c r="EO24" s="93" t="s">
        <v>357</v>
      </c>
      <c r="EP24" s="57"/>
      <c r="EQ24" s="93" t="s">
        <v>355</v>
      </c>
      <c r="ER24" s="93" t="s">
        <v>356</v>
      </c>
      <c r="ES24" s="93" t="s">
        <v>357</v>
      </c>
      <c r="ET24" s="57"/>
      <c r="EU24" s="93" t="s">
        <v>355</v>
      </c>
      <c r="EV24" s="93" t="s">
        <v>356</v>
      </c>
      <c r="EW24" s="93" t="s">
        <v>357</v>
      </c>
      <c r="EX24" s="57"/>
      <c r="EY24" s="93" t="s">
        <v>355</v>
      </c>
      <c r="EZ24" s="93" t="s">
        <v>356</v>
      </c>
      <c r="FA24" s="93" t="s">
        <v>357</v>
      </c>
      <c r="FB24" s="95"/>
      <c r="FC24" s="93" t="s">
        <v>355</v>
      </c>
      <c r="FD24" s="93" t="s">
        <v>356</v>
      </c>
      <c r="FE24" s="93" t="s">
        <v>357</v>
      </c>
      <c r="FF24" s="95"/>
      <c r="FG24" s="93" t="s">
        <v>355</v>
      </c>
      <c r="FH24" s="93" t="s">
        <v>356</v>
      </c>
      <c r="FI24" s="93" t="s">
        <v>357</v>
      </c>
      <c r="FJ24" s="95"/>
      <c r="FK24" s="93" t="s">
        <v>355</v>
      </c>
      <c r="FL24" s="93" t="s">
        <v>356</v>
      </c>
      <c r="FM24" s="93" t="s">
        <v>357</v>
      </c>
      <c r="FN24" s="135"/>
      <c r="FO24" s="136" t="s">
        <v>355</v>
      </c>
      <c r="FP24" s="136" t="s">
        <v>356</v>
      </c>
      <c r="FQ24" s="136" t="s">
        <v>357</v>
      </c>
    </row>
    <row r="25" spans="1:173" s="4" customFormat="1" ht="14.25" customHeight="1" x14ac:dyDescent="0.25">
      <c r="A25" s="65" t="s">
        <v>326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75" t="s">
        <v>123</v>
      </c>
      <c r="AU25" s="75"/>
      <c r="AV25" s="75"/>
      <c r="AW25" s="75"/>
      <c r="AX25" s="75" t="s">
        <v>336</v>
      </c>
      <c r="AY25" s="75"/>
      <c r="AZ25" s="75"/>
      <c r="BA25" s="75"/>
      <c r="BB25" s="75" t="s">
        <v>336</v>
      </c>
      <c r="BC25" s="75"/>
      <c r="BD25" s="75"/>
      <c r="BE25" s="75"/>
      <c r="BF25" s="75" t="s">
        <v>337</v>
      </c>
      <c r="BG25" s="75" t="s">
        <v>361</v>
      </c>
      <c r="BH25" s="75" t="s">
        <v>359</v>
      </c>
      <c r="BI25" s="69" t="s">
        <v>362</v>
      </c>
      <c r="BJ25" s="75" t="s">
        <v>336</v>
      </c>
      <c r="BK25" s="75"/>
      <c r="BL25" s="75"/>
      <c r="BM25" s="75"/>
      <c r="BN25" s="75" t="s">
        <v>337</v>
      </c>
      <c r="BO25" s="75"/>
      <c r="BP25" s="75"/>
      <c r="BQ25" s="75"/>
      <c r="BR25" s="75"/>
      <c r="BS25" s="75"/>
      <c r="BT25" s="75"/>
      <c r="BU25" s="75"/>
      <c r="BV25" s="75" t="s">
        <v>123</v>
      </c>
      <c r="BW25" s="75"/>
      <c r="BX25" s="75"/>
      <c r="BY25" s="75"/>
      <c r="BZ25" s="75"/>
      <c r="CA25" s="75"/>
      <c r="CB25" s="75"/>
      <c r="CC25" s="75"/>
      <c r="CD25" s="75" t="s">
        <v>336</v>
      </c>
      <c r="CE25" s="75"/>
      <c r="CF25" s="75"/>
      <c r="CG25" s="75"/>
      <c r="CH25" s="75" t="s">
        <v>337</v>
      </c>
      <c r="CI25" s="75"/>
      <c r="CJ25" s="75"/>
      <c r="CK25" s="75"/>
      <c r="CL25" s="75" t="s">
        <v>337</v>
      </c>
      <c r="CM25" s="75"/>
      <c r="CN25" s="75"/>
      <c r="CO25" s="75"/>
      <c r="CP25" s="75"/>
      <c r="CQ25" s="75"/>
      <c r="CR25" s="75"/>
      <c r="CS25" s="75"/>
      <c r="CT25" s="75" t="s">
        <v>123</v>
      </c>
      <c r="CU25" s="75"/>
      <c r="CV25" s="75"/>
      <c r="CW25" s="75"/>
      <c r="CX25" s="94"/>
      <c r="CY25" s="94"/>
      <c r="CZ25" s="94"/>
      <c r="DA25" s="94"/>
      <c r="DB25" s="94"/>
      <c r="DC25" s="94"/>
      <c r="DD25" s="94"/>
      <c r="DE25" s="94"/>
      <c r="DF25" s="94"/>
      <c r="DG25" s="94"/>
      <c r="DH25" s="94"/>
      <c r="DI25" s="94"/>
      <c r="DJ25" s="94"/>
      <c r="DK25" s="94"/>
      <c r="DL25" s="94"/>
      <c r="DM25" s="94"/>
      <c r="DN25" s="94"/>
      <c r="DO25" s="94"/>
      <c r="DP25" s="94"/>
      <c r="DQ25" s="94"/>
      <c r="DR25" s="94"/>
      <c r="DS25" s="94"/>
      <c r="DT25" s="94"/>
      <c r="DU25" s="94"/>
      <c r="DV25" s="94"/>
      <c r="DW25" s="94"/>
      <c r="DX25" s="94"/>
      <c r="DY25" s="94"/>
      <c r="DZ25" s="94"/>
      <c r="EA25" s="94"/>
      <c r="EB25" s="94"/>
      <c r="EC25" s="94"/>
      <c r="ED25" s="94"/>
      <c r="EE25" s="94"/>
      <c r="EF25" s="94"/>
      <c r="EG25" s="94"/>
      <c r="EH25" s="94"/>
      <c r="EI25" s="94"/>
      <c r="EJ25" s="94"/>
      <c r="EK25" s="94"/>
      <c r="EL25" s="94"/>
      <c r="EM25" s="94"/>
      <c r="EN25" s="94"/>
      <c r="EO25" s="94"/>
      <c r="EP25" s="94"/>
      <c r="EQ25" s="94"/>
      <c r="ER25" s="94"/>
      <c r="ES25" s="94"/>
      <c r="ET25" s="94"/>
      <c r="EU25" s="94"/>
      <c r="EV25" s="94"/>
      <c r="EW25" s="94"/>
      <c r="EX25" s="94"/>
      <c r="EY25" s="94"/>
      <c r="EZ25" s="94"/>
      <c r="FA25" s="94"/>
      <c r="FB25" s="94"/>
      <c r="FC25" s="94"/>
      <c r="FD25" s="94"/>
      <c r="FE25" s="94"/>
      <c r="FF25" s="94"/>
      <c r="FG25" s="94"/>
      <c r="FH25" s="94"/>
      <c r="FI25" s="94"/>
      <c r="FJ25" s="94"/>
      <c r="FK25" s="94"/>
      <c r="FL25" s="94"/>
      <c r="FM25" s="94"/>
      <c r="FN25" s="137"/>
      <c r="FO25" s="137"/>
      <c r="FP25" s="137"/>
      <c r="FQ25" s="137"/>
    </row>
    <row r="26" spans="1:173" s="4" customFormat="1" x14ac:dyDescent="0.25">
      <c r="A26" s="65" t="s">
        <v>373</v>
      </c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9"/>
      <c r="X26" s="89"/>
      <c r="Y26" s="89"/>
      <c r="Z26" s="86"/>
      <c r="AA26" s="89"/>
      <c r="AB26" s="89"/>
      <c r="AC26" s="89"/>
      <c r="AD26" s="86"/>
      <c r="AE26" s="89"/>
      <c r="AF26" s="89"/>
      <c r="AG26" s="89"/>
      <c r="AH26" s="86"/>
      <c r="AI26" s="89"/>
      <c r="AJ26" s="89"/>
      <c r="AK26" s="89"/>
      <c r="AL26" s="86"/>
      <c r="AM26" s="89"/>
      <c r="AN26" s="89"/>
      <c r="AO26" s="89"/>
      <c r="AP26" s="86"/>
      <c r="AQ26" s="89"/>
      <c r="AR26" s="89"/>
      <c r="AS26" s="89"/>
      <c r="AT26" s="71">
        <v>1</v>
      </c>
      <c r="AU26" s="71"/>
      <c r="AV26" s="71"/>
      <c r="AW26" s="71"/>
      <c r="AX26" s="71">
        <v>1</v>
      </c>
      <c r="AY26" s="71"/>
      <c r="AZ26" s="71"/>
      <c r="BA26" s="71"/>
      <c r="BB26" s="71">
        <v>1</v>
      </c>
      <c r="BC26" s="71"/>
      <c r="BD26" s="71"/>
      <c r="BE26" s="71"/>
      <c r="BF26" s="71">
        <v>1</v>
      </c>
      <c r="BG26" s="71">
        <v>0.5</v>
      </c>
      <c r="BH26" s="71" t="s">
        <v>359</v>
      </c>
      <c r="BI26" s="71" t="s">
        <v>360</v>
      </c>
      <c r="BJ26" s="71">
        <v>1</v>
      </c>
      <c r="BK26" s="71"/>
      <c r="BL26" s="71"/>
      <c r="BM26" s="71"/>
      <c r="BN26" s="71">
        <v>1</v>
      </c>
      <c r="BO26" s="71"/>
      <c r="BP26" s="71"/>
      <c r="BQ26" s="71"/>
      <c r="BR26" s="71"/>
      <c r="BS26" s="71"/>
      <c r="BT26" s="71"/>
      <c r="BU26" s="71"/>
      <c r="BV26" s="71">
        <v>1</v>
      </c>
      <c r="BW26" s="71"/>
      <c r="BX26" s="71"/>
      <c r="BY26" s="71"/>
      <c r="BZ26" s="71"/>
      <c r="CA26" s="71"/>
      <c r="CB26" s="71"/>
      <c r="CC26" s="71"/>
      <c r="CD26" s="71">
        <v>1</v>
      </c>
      <c r="CE26" s="71"/>
      <c r="CF26" s="71"/>
      <c r="CG26" s="71"/>
      <c r="CH26" s="71">
        <v>1</v>
      </c>
      <c r="CI26" s="71"/>
      <c r="CJ26" s="71"/>
      <c r="CK26" s="71"/>
      <c r="CL26" s="71">
        <v>1</v>
      </c>
      <c r="CM26" s="76"/>
      <c r="CN26" s="76"/>
      <c r="CO26" s="76"/>
      <c r="CP26" s="71"/>
      <c r="CQ26" s="71"/>
      <c r="CR26" s="71"/>
      <c r="CS26" s="71"/>
      <c r="CT26" s="71">
        <v>1</v>
      </c>
      <c r="CU26" s="75"/>
      <c r="CV26" s="75"/>
      <c r="CW26" s="75"/>
      <c r="CX26" s="94"/>
      <c r="CY26" s="94"/>
      <c r="CZ26" s="94"/>
      <c r="DA26" s="94"/>
      <c r="DB26" s="94"/>
      <c r="DC26" s="94"/>
      <c r="DD26" s="94"/>
      <c r="DE26" s="94"/>
      <c r="DF26" s="94"/>
      <c r="DG26" s="94"/>
      <c r="DH26" s="94"/>
      <c r="DI26" s="94"/>
      <c r="DJ26" s="94"/>
      <c r="DK26" s="94"/>
      <c r="DL26" s="94"/>
      <c r="DM26" s="94"/>
      <c r="DN26" s="94"/>
      <c r="DO26" s="94"/>
      <c r="DP26" s="94"/>
      <c r="DQ26" s="94"/>
      <c r="DR26" s="94"/>
      <c r="DS26" s="94"/>
      <c r="DT26" s="94"/>
      <c r="DU26" s="94"/>
      <c r="DV26" s="94"/>
      <c r="DW26" s="94"/>
      <c r="DX26" s="94"/>
      <c r="DY26" s="94"/>
      <c r="DZ26" s="94"/>
      <c r="EA26" s="94"/>
      <c r="EB26" s="94"/>
      <c r="EC26" s="94"/>
      <c r="ED26" s="94"/>
      <c r="EE26" s="94"/>
      <c r="EF26" s="94"/>
      <c r="EG26" s="94"/>
      <c r="EH26" s="94"/>
      <c r="EI26" s="94"/>
      <c r="EJ26" s="94"/>
      <c r="EK26" s="94"/>
      <c r="EL26" s="94"/>
      <c r="EM26" s="94"/>
      <c r="EN26" s="94"/>
      <c r="EO26" s="94"/>
      <c r="EP26" s="94"/>
      <c r="EQ26" s="94"/>
      <c r="ER26" s="94"/>
      <c r="ES26" s="94"/>
      <c r="ET26" s="94"/>
      <c r="EU26" s="94"/>
      <c r="EV26" s="94"/>
      <c r="EW26" s="94"/>
      <c r="EX26" s="94"/>
      <c r="EY26" s="94"/>
      <c r="EZ26" s="94"/>
      <c r="FA26" s="94"/>
      <c r="FB26" s="94"/>
      <c r="FC26" s="94"/>
      <c r="FD26" s="94"/>
      <c r="FE26" s="94"/>
      <c r="FF26" s="94"/>
      <c r="FG26" s="94"/>
      <c r="FH26" s="94"/>
      <c r="FI26" s="94"/>
      <c r="FJ26" s="94"/>
      <c r="FK26" s="94"/>
      <c r="FL26" s="94"/>
      <c r="FM26" s="94"/>
      <c r="FN26" s="137"/>
      <c r="FO26" s="137"/>
      <c r="FP26" s="137"/>
      <c r="FQ26" s="137"/>
    </row>
    <row r="27" spans="1:173" s="4" customFormat="1" ht="14.25" customHeight="1" x14ac:dyDescent="0.25">
      <c r="A27" s="65" t="s">
        <v>327</v>
      </c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75" t="s">
        <v>363</v>
      </c>
      <c r="AU27" s="75"/>
      <c r="AV27" s="75"/>
      <c r="AW27" s="75"/>
      <c r="AX27" s="75" t="s">
        <v>363</v>
      </c>
      <c r="AY27" s="75"/>
      <c r="AZ27" s="75"/>
      <c r="BA27" s="75"/>
      <c r="BB27" s="75">
        <v>12.5</v>
      </c>
      <c r="BC27" s="75"/>
      <c r="BD27" s="75"/>
      <c r="BE27" s="75"/>
      <c r="BF27" s="75">
        <v>0.99</v>
      </c>
      <c r="BG27" s="66">
        <v>0.99</v>
      </c>
      <c r="BH27" s="75" t="s">
        <v>359</v>
      </c>
      <c r="BI27" s="75" t="s">
        <v>364</v>
      </c>
      <c r="BJ27" s="71">
        <v>1</v>
      </c>
      <c r="BK27" s="75"/>
      <c r="BL27" s="75"/>
      <c r="BM27" s="75"/>
      <c r="BN27" s="75">
        <v>0</v>
      </c>
      <c r="BO27" s="75" t="s">
        <v>386</v>
      </c>
      <c r="BP27" s="75" t="s">
        <v>359</v>
      </c>
      <c r="BQ27" s="75">
        <v>338</v>
      </c>
      <c r="BR27" s="75"/>
      <c r="BS27" s="75"/>
      <c r="BT27" s="75"/>
      <c r="BU27" s="75"/>
      <c r="BV27" s="75" t="s">
        <v>363</v>
      </c>
      <c r="BW27" s="75"/>
      <c r="BX27" s="75"/>
      <c r="BY27" s="75"/>
      <c r="BZ27" s="75"/>
      <c r="CA27" s="75"/>
      <c r="CB27" s="75"/>
      <c r="CC27" s="75"/>
      <c r="CD27" s="75">
        <v>0.114</v>
      </c>
      <c r="CE27" s="69" t="s">
        <v>365</v>
      </c>
      <c r="CF27" s="69" t="s">
        <v>366</v>
      </c>
      <c r="CG27" s="69" t="s">
        <v>367</v>
      </c>
      <c r="CH27" s="71">
        <v>8</v>
      </c>
      <c r="CI27" s="75"/>
      <c r="CJ27" s="75"/>
      <c r="CK27" s="75"/>
      <c r="CL27" s="71">
        <v>1</v>
      </c>
      <c r="CM27" s="77"/>
      <c r="CN27" s="77"/>
      <c r="CO27" s="75"/>
      <c r="CP27" s="75"/>
      <c r="CQ27" s="75"/>
      <c r="CR27" s="75"/>
      <c r="CS27" s="75"/>
      <c r="CT27" s="75">
        <v>0.01</v>
      </c>
      <c r="CU27" s="75" t="s">
        <v>387</v>
      </c>
      <c r="CV27" s="75" t="s">
        <v>393</v>
      </c>
      <c r="CW27" s="75">
        <v>78</v>
      </c>
      <c r="CX27" s="94"/>
      <c r="CY27" s="94"/>
      <c r="CZ27" s="94"/>
      <c r="DA27" s="94"/>
      <c r="DB27" s="94"/>
      <c r="DC27" s="94"/>
      <c r="DD27" s="94"/>
      <c r="DE27" s="94"/>
      <c r="DF27" s="94"/>
      <c r="DG27" s="94"/>
      <c r="DH27" s="94"/>
      <c r="DI27" s="94"/>
      <c r="DJ27" s="94"/>
      <c r="DK27" s="94"/>
      <c r="DL27" s="94"/>
      <c r="DM27" s="94"/>
      <c r="DN27" s="94"/>
      <c r="DO27" s="94"/>
      <c r="DP27" s="94"/>
      <c r="DQ27" s="94"/>
      <c r="DR27" s="94"/>
      <c r="DS27" s="94"/>
      <c r="DT27" s="94"/>
      <c r="DU27" s="94"/>
      <c r="DV27" s="94"/>
      <c r="DW27" s="94"/>
      <c r="DX27" s="94"/>
      <c r="DY27" s="94"/>
      <c r="DZ27" s="94"/>
      <c r="EA27" s="94"/>
      <c r="EB27" s="94"/>
      <c r="EC27" s="94"/>
      <c r="ED27" s="94"/>
      <c r="EE27" s="94"/>
      <c r="EF27" s="94"/>
      <c r="EG27" s="94"/>
      <c r="EH27" s="94"/>
      <c r="EI27" s="94"/>
      <c r="EJ27" s="94"/>
      <c r="EK27" s="94"/>
      <c r="EL27" s="94"/>
      <c r="EM27" s="94"/>
      <c r="EN27" s="94"/>
      <c r="EO27" s="94"/>
      <c r="EP27" s="94"/>
      <c r="EQ27" s="94"/>
      <c r="ER27" s="94"/>
      <c r="ES27" s="94"/>
      <c r="ET27" s="94"/>
      <c r="EU27" s="94"/>
      <c r="EV27" s="94"/>
      <c r="EW27" s="94"/>
      <c r="EX27" s="94"/>
      <c r="EY27" s="94"/>
      <c r="EZ27" s="94"/>
      <c r="FA27" s="94"/>
      <c r="FB27" s="94"/>
      <c r="FC27" s="94"/>
      <c r="FD27" s="94"/>
      <c r="FE27" s="94"/>
      <c r="FF27" s="94"/>
      <c r="FG27" s="94"/>
      <c r="FH27" s="94"/>
      <c r="FI27" s="94"/>
      <c r="FJ27" s="94"/>
      <c r="FK27" s="94"/>
      <c r="FL27" s="94"/>
      <c r="FM27" s="94"/>
      <c r="FN27" s="137"/>
      <c r="FO27" s="137"/>
      <c r="FP27" s="137"/>
      <c r="FQ27" s="137"/>
    </row>
    <row r="28" spans="1:173" s="4" customFormat="1" ht="15" customHeight="1" x14ac:dyDescent="0.25">
      <c r="A28" s="65" t="s">
        <v>328</v>
      </c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76" t="s">
        <v>368</v>
      </c>
      <c r="AU28" s="76" t="s">
        <v>338</v>
      </c>
      <c r="AV28" s="76"/>
      <c r="AW28" s="76"/>
      <c r="AX28" s="75" t="s">
        <v>385</v>
      </c>
      <c r="AY28" s="75"/>
      <c r="AZ28" s="76"/>
      <c r="BA28" s="76"/>
      <c r="BB28" s="72" t="s">
        <v>368</v>
      </c>
      <c r="BC28" s="76"/>
      <c r="BD28" s="76"/>
      <c r="BE28" s="76"/>
      <c r="BF28" s="72" t="s">
        <v>368</v>
      </c>
      <c r="BG28" s="76" t="s">
        <v>368</v>
      </c>
      <c r="BH28" s="76" t="s">
        <v>359</v>
      </c>
      <c r="BI28" s="70" t="s">
        <v>369</v>
      </c>
      <c r="BJ28" s="72" t="s">
        <v>368</v>
      </c>
      <c r="BK28" s="76"/>
      <c r="BL28" s="76"/>
      <c r="BM28" s="76"/>
      <c r="BN28" s="76" t="s">
        <v>370</v>
      </c>
      <c r="BO28" s="76">
        <v>0</v>
      </c>
      <c r="BP28" s="76" t="s">
        <v>359</v>
      </c>
      <c r="BQ28" s="76" t="s">
        <v>371</v>
      </c>
      <c r="BR28" s="76"/>
      <c r="BS28" s="76"/>
      <c r="BT28" s="75"/>
      <c r="BU28" s="76"/>
      <c r="BV28" s="76" t="s">
        <v>339</v>
      </c>
      <c r="BW28" s="76" t="s">
        <v>388</v>
      </c>
      <c r="BX28" s="75" t="s">
        <v>359</v>
      </c>
      <c r="BY28" s="76">
        <v>331</v>
      </c>
      <c r="BZ28" s="75"/>
      <c r="CA28" s="76"/>
      <c r="CB28" s="76"/>
      <c r="CC28" s="76"/>
      <c r="CD28" s="76" t="s">
        <v>389</v>
      </c>
      <c r="CE28" s="76" t="s">
        <v>390</v>
      </c>
      <c r="CF28" s="75" t="s">
        <v>359</v>
      </c>
      <c r="CG28" s="70">
        <v>331</v>
      </c>
      <c r="CH28" s="72" t="s">
        <v>368</v>
      </c>
      <c r="CI28" s="76"/>
      <c r="CJ28" s="76"/>
      <c r="CK28" s="76"/>
      <c r="CL28" s="72" t="s">
        <v>368</v>
      </c>
      <c r="CM28" s="75"/>
      <c r="CN28" s="75"/>
      <c r="CO28" s="75"/>
      <c r="CP28" s="75"/>
      <c r="CQ28" s="76"/>
      <c r="CR28" s="76"/>
      <c r="CS28" s="76"/>
      <c r="CT28" s="75" t="s">
        <v>368</v>
      </c>
      <c r="CU28" s="75"/>
      <c r="CV28" s="76"/>
      <c r="CW28" s="76"/>
      <c r="CX28" s="94"/>
      <c r="CY28" s="94"/>
      <c r="CZ28" s="94"/>
      <c r="DA28" s="94"/>
      <c r="DB28" s="94"/>
      <c r="DC28" s="94"/>
      <c r="DD28" s="94"/>
      <c r="DE28" s="94"/>
      <c r="DF28" s="94"/>
      <c r="DG28" s="94"/>
      <c r="DH28" s="94"/>
      <c r="DI28" s="94"/>
      <c r="DJ28" s="94"/>
      <c r="DK28" s="94"/>
      <c r="DL28" s="94"/>
      <c r="DM28" s="94"/>
      <c r="DN28" s="94"/>
      <c r="DO28" s="94"/>
      <c r="DP28" s="94"/>
      <c r="DQ28" s="94"/>
      <c r="DR28" s="94"/>
      <c r="DS28" s="94"/>
      <c r="DT28" s="94"/>
      <c r="DU28" s="94"/>
      <c r="DV28" s="94"/>
      <c r="DW28" s="94"/>
      <c r="DX28" s="94"/>
      <c r="DY28" s="94"/>
      <c r="DZ28" s="94"/>
      <c r="EA28" s="94"/>
      <c r="EB28" s="94"/>
      <c r="EC28" s="94"/>
      <c r="ED28" s="94"/>
      <c r="EE28" s="94"/>
      <c r="EF28" s="94"/>
      <c r="EG28" s="94"/>
      <c r="EH28" s="94"/>
      <c r="EI28" s="94"/>
      <c r="EJ28" s="94"/>
      <c r="EK28" s="94"/>
      <c r="EL28" s="94"/>
      <c r="EM28" s="94"/>
      <c r="EN28" s="94"/>
      <c r="EO28" s="94"/>
      <c r="EP28" s="94"/>
      <c r="EQ28" s="94"/>
      <c r="ER28" s="94"/>
      <c r="ES28" s="94"/>
      <c r="ET28" s="94"/>
      <c r="EU28" s="94"/>
      <c r="EV28" s="94"/>
      <c r="EW28" s="94"/>
      <c r="EX28" s="94"/>
      <c r="EY28" s="94"/>
      <c r="EZ28" s="94"/>
      <c r="FA28" s="94"/>
      <c r="FB28" s="94"/>
      <c r="FC28" s="94"/>
      <c r="FD28" s="94"/>
      <c r="FE28" s="94"/>
      <c r="FF28" s="94"/>
      <c r="FG28" s="94"/>
      <c r="FH28" s="94"/>
      <c r="FI28" s="94"/>
      <c r="FJ28" s="94"/>
      <c r="FK28" s="94"/>
      <c r="FL28" s="94"/>
      <c r="FM28" s="94"/>
      <c r="FN28" s="137"/>
      <c r="FO28" s="137"/>
      <c r="FP28" s="137"/>
      <c r="FQ28" s="137"/>
    </row>
    <row r="29" spans="1:173" ht="15.75" thickBot="1" x14ac:dyDescent="0.3">
      <c r="A29" s="63" t="s">
        <v>332</v>
      </c>
      <c r="B29" s="45"/>
      <c r="C29" s="90" t="s">
        <v>355</v>
      </c>
      <c r="D29" s="90" t="s">
        <v>356</v>
      </c>
      <c r="E29" s="90" t="s">
        <v>357</v>
      </c>
      <c r="F29" s="45"/>
      <c r="G29" s="90" t="s">
        <v>355</v>
      </c>
      <c r="H29" s="90" t="s">
        <v>356</v>
      </c>
      <c r="I29" s="90" t="s">
        <v>357</v>
      </c>
      <c r="J29" s="45"/>
      <c r="K29" s="90" t="s">
        <v>355</v>
      </c>
      <c r="L29" s="90" t="s">
        <v>356</v>
      </c>
      <c r="M29" s="90" t="s">
        <v>357</v>
      </c>
      <c r="N29" s="45"/>
      <c r="O29" s="90" t="s">
        <v>355</v>
      </c>
      <c r="P29" s="90" t="s">
        <v>356</v>
      </c>
      <c r="Q29" s="90" t="s">
        <v>357</v>
      </c>
      <c r="R29" s="45"/>
      <c r="S29" s="90" t="s">
        <v>355</v>
      </c>
      <c r="T29" s="90" t="s">
        <v>356</v>
      </c>
      <c r="U29" s="90" t="s">
        <v>357</v>
      </c>
      <c r="V29" s="45"/>
      <c r="W29" s="90" t="s">
        <v>355</v>
      </c>
      <c r="X29" s="90" t="s">
        <v>356</v>
      </c>
      <c r="Y29" s="90" t="s">
        <v>357</v>
      </c>
      <c r="Z29" s="45"/>
      <c r="AA29" s="90" t="s">
        <v>355</v>
      </c>
      <c r="AB29" s="90" t="s">
        <v>356</v>
      </c>
      <c r="AC29" s="90" t="s">
        <v>357</v>
      </c>
      <c r="AD29" s="45"/>
      <c r="AE29" s="90" t="s">
        <v>355</v>
      </c>
      <c r="AF29" s="90" t="s">
        <v>356</v>
      </c>
      <c r="AG29" s="90" t="s">
        <v>357</v>
      </c>
      <c r="AH29" s="45"/>
      <c r="AI29" s="90" t="s">
        <v>355</v>
      </c>
      <c r="AJ29" s="90" t="s">
        <v>356</v>
      </c>
      <c r="AK29" s="90" t="s">
        <v>357</v>
      </c>
      <c r="AL29" s="45"/>
      <c r="AM29" s="90" t="s">
        <v>355</v>
      </c>
      <c r="AN29" s="90" t="s">
        <v>356</v>
      </c>
      <c r="AO29" s="90" t="s">
        <v>357</v>
      </c>
      <c r="AP29" s="45"/>
      <c r="AQ29" s="90" t="s">
        <v>355</v>
      </c>
      <c r="AR29" s="90" t="s">
        <v>356</v>
      </c>
      <c r="AS29" s="90" t="s">
        <v>357</v>
      </c>
      <c r="AT29" s="74" t="s">
        <v>268</v>
      </c>
      <c r="AU29" s="79" t="s">
        <v>355</v>
      </c>
      <c r="AV29" s="79" t="s">
        <v>356</v>
      </c>
      <c r="AW29" s="79" t="s">
        <v>357</v>
      </c>
      <c r="AX29" s="74"/>
      <c r="AY29" s="79" t="s">
        <v>355</v>
      </c>
      <c r="AZ29" s="79" t="s">
        <v>356</v>
      </c>
      <c r="BA29" s="79" t="s">
        <v>357</v>
      </c>
      <c r="BB29" s="74"/>
      <c r="BC29" s="79" t="s">
        <v>355</v>
      </c>
      <c r="BD29" s="79" t="s">
        <v>356</v>
      </c>
      <c r="BE29" s="79" t="s">
        <v>357</v>
      </c>
      <c r="BF29" s="74"/>
      <c r="BG29" s="79" t="s">
        <v>355</v>
      </c>
      <c r="BH29" s="79" t="s">
        <v>356</v>
      </c>
      <c r="BI29" s="79" t="s">
        <v>357</v>
      </c>
      <c r="BJ29" s="74"/>
      <c r="BK29" s="79" t="s">
        <v>355</v>
      </c>
      <c r="BL29" s="79" t="s">
        <v>356</v>
      </c>
      <c r="BM29" s="79" t="s">
        <v>357</v>
      </c>
      <c r="BN29" s="74"/>
      <c r="BO29" s="79" t="s">
        <v>355</v>
      </c>
      <c r="BP29" s="79" t="s">
        <v>356</v>
      </c>
      <c r="BQ29" s="79" t="s">
        <v>357</v>
      </c>
      <c r="BR29" s="74"/>
      <c r="BS29" s="79" t="s">
        <v>355</v>
      </c>
      <c r="BT29" s="79" t="s">
        <v>356</v>
      </c>
      <c r="BU29" s="79" t="s">
        <v>357</v>
      </c>
      <c r="BV29" s="74"/>
      <c r="BW29" s="79" t="s">
        <v>355</v>
      </c>
      <c r="BX29" s="79" t="s">
        <v>356</v>
      </c>
      <c r="BY29" s="79" t="s">
        <v>357</v>
      </c>
      <c r="BZ29" s="74"/>
      <c r="CA29" s="79" t="s">
        <v>355</v>
      </c>
      <c r="CB29" s="79" t="s">
        <v>356</v>
      </c>
      <c r="CC29" s="79" t="s">
        <v>357</v>
      </c>
      <c r="CD29" s="74"/>
      <c r="CE29" s="79" t="s">
        <v>355</v>
      </c>
      <c r="CF29" s="79" t="s">
        <v>356</v>
      </c>
      <c r="CG29" s="79" t="s">
        <v>357</v>
      </c>
      <c r="CH29" s="74"/>
      <c r="CI29" s="79" t="s">
        <v>355</v>
      </c>
      <c r="CJ29" s="79" t="s">
        <v>356</v>
      </c>
      <c r="CK29" s="79" t="s">
        <v>357</v>
      </c>
      <c r="CL29" s="74"/>
      <c r="CM29" s="79" t="s">
        <v>355</v>
      </c>
      <c r="CN29" s="79" t="s">
        <v>356</v>
      </c>
      <c r="CO29" s="79" t="s">
        <v>357</v>
      </c>
      <c r="CP29" s="74"/>
      <c r="CQ29" s="79" t="s">
        <v>355</v>
      </c>
      <c r="CR29" s="79" t="s">
        <v>356</v>
      </c>
      <c r="CS29" s="79" t="s">
        <v>357</v>
      </c>
      <c r="CT29" s="74"/>
      <c r="CU29" s="79" t="s">
        <v>355</v>
      </c>
      <c r="CV29" s="79" t="s">
        <v>356</v>
      </c>
      <c r="CW29" s="79" t="s">
        <v>357</v>
      </c>
      <c r="CX29" s="95"/>
      <c r="CY29" s="93" t="s">
        <v>355</v>
      </c>
      <c r="CZ29" s="93" t="s">
        <v>356</v>
      </c>
      <c r="DA29" s="93" t="s">
        <v>357</v>
      </c>
      <c r="DB29" s="57"/>
      <c r="DC29" s="93" t="s">
        <v>355</v>
      </c>
      <c r="DD29" s="93" t="s">
        <v>356</v>
      </c>
      <c r="DE29" s="93" t="s">
        <v>357</v>
      </c>
      <c r="DF29" s="95"/>
      <c r="DG29" s="93" t="s">
        <v>355</v>
      </c>
      <c r="DH29" s="93" t="s">
        <v>356</v>
      </c>
      <c r="DI29" s="93" t="s">
        <v>357</v>
      </c>
      <c r="DJ29" s="95"/>
      <c r="DK29" s="93" t="s">
        <v>355</v>
      </c>
      <c r="DL29" s="93" t="s">
        <v>356</v>
      </c>
      <c r="DM29" s="93" t="s">
        <v>357</v>
      </c>
      <c r="DN29" s="95"/>
      <c r="DO29" s="93" t="s">
        <v>355</v>
      </c>
      <c r="DP29" s="93" t="s">
        <v>356</v>
      </c>
      <c r="DQ29" s="93" t="s">
        <v>357</v>
      </c>
      <c r="DR29" s="95"/>
      <c r="DS29" s="93" t="s">
        <v>355</v>
      </c>
      <c r="DT29" s="93" t="s">
        <v>356</v>
      </c>
      <c r="DU29" s="93" t="s">
        <v>357</v>
      </c>
      <c r="DV29" s="95"/>
      <c r="DW29" s="93" t="s">
        <v>355</v>
      </c>
      <c r="DX29" s="93" t="s">
        <v>356</v>
      </c>
      <c r="DY29" s="93" t="s">
        <v>357</v>
      </c>
      <c r="DZ29" s="95"/>
      <c r="EA29" s="93" t="s">
        <v>355</v>
      </c>
      <c r="EB29" s="93" t="s">
        <v>356</v>
      </c>
      <c r="EC29" s="93" t="s">
        <v>357</v>
      </c>
      <c r="ED29" s="95"/>
      <c r="EE29" s="93" t="s">
        <v>355</v>
      </c>
      <c r="EF29" s="93" t="s">
        <v>356</v>
      </c>
      <c r="EG29" s="93" t="s">
        <v>357</v>
      </c>
      <c r="EH29" s="95"/>
      <c r="EI29" s="93" t="s">
        <v>355</v>
      </c>
      <c r="EJ29" s="93" t="s">
        <v>356</v>
      </c>
      <c r="EK29" s="93" t="s">
        <v>357</v>
      </c>
      <c r="EL29" s="93"/>
      <c r="EM29" s="93" t="s">
        <v>355</v>
      </c>
      <c r="EN29" s="93" t="s">
        <v>356</v>
      </c>
      <c r="EO29" s="93" t="s">
        <v>357</v>
      </c>
      <c r="EP29" s="57"/>
      <c r="EQ29" s="93" t="s">
        <v>355</v>
      </c>
      <c r="ER29" s="93" t="s">
        <v>356</v>
      </c>
      <c r="ES29" s="93" t="s">
        <v>357</v>
      </c>
      <c r="ET29" s="57"/>
      <c r="EU29" s="93" t="s">
        <v>355</v>
      </c>
      <c r="EV29" s="93" t="s">
        <v>356</v>
      </c>
      <c r="EW29" s="93" t="s">
        <v>357</v>
      </c>
      <c r="EX29" s="57"/>
      <c r="EY29" s="93" t="s">
        <v>355</v>
      </c>
      <c r="EZ29" s="93" t="s">
        <v>356</v>
      </c>
      <c r="FA29" s="93" t="s">
        <v>357</v>
      </c>
      <c r="FB29" s="95"/>
      <c r="FC29" s="93" t="s">
        <v>355</v>
      </c>
      <c r="FD29" s="93" t="s">
        <v>356</v>
      </c>
      <c r="FE29" s="93" t="s">
        <v>357</v>
      </c>
      <c r="FF29" s="95"/>
      <c r="FG29" s="93" t="s">
        <v>355</v>
      </c>
      <c r="FH29" s="93" t="s">
        <v>356</v>
      </c>
      <c r="FI29" s="93" t="s">
        <v>357</v>
      </c>
      <c r="FJ29" s="95"/>
      <c r="FK29" s="93" t="s">
        <v>355</v>
      </c>
      <c r="FL29" s="93" t="s">
        <v>356</v>
      </c>
      <c r="FM29" s="93" t="s">
        <v>357</v>
      </c>
      <c r="FN29" s="135"/>
      <c r="FO29" s="136" t="s">
        <v>355</v>
      </c>
      <c r="FP29" s="136" t="s">
        <v>356</v>
      </c>
      <c r="FQ29" s="136" t="s">
        <v>357</v>
      </c>
    </row>
    <row r="30" spans="1:173" s="4" customFormat="1" x14ac:dyDescent="0.25">
      <c r="A30" s="49" t="s">
        <v>90</v>
      </c>
      <c r="B30" s="89"/>
      <c r="C30" s="89"/>
      <c r="D30" s="89"/>
      <c r="E30" s="89"/>
      <c r="F30" s="89"/>
      <c r="G30" s="89"/>
      <c r="H30" s="89"/>
      <c r="I30" s="89"/>
      <c r="J30" s="86"/>
      <c r="K30" s="89"/>
      <c r="L30" s="89"/>
      <c r="M30" s="89"/>
      <c r="N30" s="86"/>
      <c r="O30" s="89"/>
      <c r="P30" s="89"/>
      <c r="Q30" s="89"/>
      <c r="R30" s="86"/>
      <c r="S30" s="89"/>
      <c r="T30" s="89"/>
      <c r="U30" s="89"/>
      <c r="V30" s="86"/>
      <c r="W30" s="89"/>
      <c r="X30" s="89"/>
      <c r="Y30" s="89"/>
      <c r="Z30" s="86"/>
      <c r="AA30" s="89"/>
      <c r="AB30" s="89"/>
      <c r="AC30" s="89"/>
      <c r="AD30" s="86"/>
      <c r="AE30" s="89"/>
      <c r="AF30" s="89"/>
      <c r="AG30" s="89"/>
      <c r="AH30" s="86"/>
      <c r="AI30" s="89"/>
      <c r="AJ30" s="89"/>
      <c r="AK30" s="89"/>
      <c r="AL30" s="86">
        <v>8.59</v>
      </c>
      <c r="AM30" s="89"/>
      <c r="AN30" s="89"/>
      <c r="AO30" s="89"/>
      <c r="AP30" s="86">
        <v>9.41</v>
      </c>
      <c r="AQ30" s="89">
        <v>9.41</v>
      </c>
      <c r="AR30" s="89" t="s">
        <v>714</v>
      </c>
      <c r="AS30" s="89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75"/>
      <c r="CB30" s="75"/>
      <c r="CC30" s="75"/>
      <c r="CD30" s="75"/>
      <c r="CE30" s="75"/>
      <c r="CF30" s="75"/>
      <c r="CG30" s="75"/>
      <c r="CH30" s="75"/>
      <c r="CI30" s="75"/>
      <c r="CJ30" s="75"/>
      <c r="CK30" s="75"/>
      <c r="CL30" s="75"/>
      <c r="CM30" s="75"/>
      <c r="CN30" s="75"/>
      <c r="CO30" s="75"/>
      <c r="CP30" s="75"/>
      <c r="CQ30" s="75"/>
      <c r="CR30" s="75"/>
      <c r="CS30" s="75"/>
      <c r="CT30" s="75"/>
      <c r="CU30" s="75"/>
      <c r="CV30" s="75"/>
      <c r="CW30" s="75"/>
      <c r="CX30" s="94"/>
      <c r="CY30" s="94"/>
      <c r="CZ30" s="94"/>
      <c r="DA30" s="94"/>
      <c r="DB30" s="94">
        <v>18.87</v>
      </c>
      <c r="DC30" s="94"/>
      <c r="DD30" s="94"/>
      <c r="DE30" s="94"/>
      <c r="DF30" s="94">
        <v>4.2</v>
      </c>
      <c r="DG30" s="94">
        <v>4.2</v>
      </c>
      <c r="DH30" s="94" t="s">
        <v>707</v>
      </c>
      <c r="DI30" s="94"/>
      <c r="DJ30" s="94">
        <v>8.77</v>
      </c>
      <c r="DK30" s="94"/>
      <c r="DL30" s="94"/>
      <c r="DM30" s="94"/>
      <c r="DN30" s="94">
        <v>3</v>
      </c>
      <c r="DO30" s="94"/>
      <c r="DP30" s="94"/>
      <c r="DQ30" s="94"/>
      <c r="DR30" s="94"/>
      <c r="DS30" s="94"/>
      <c r="DT30" s="94"/>
      <c r="DU30" s="94"/>
      <c r="DV30" s="94"/>
      <c r="DW30" s="94">
        <v>10.61</v>
      </c>
      <c r="DX30" s="94" t="s">
        <v>728</v>
      </c>
      <c r="DY30" s="94"/>
      <c r="DZ30" s="94">
        <v>1.5</v>
      </c>
      <c r="EA30" s="94"/>
      <c r="EB30" s="94"/>
      <c r="EC30" s="94"/>
      <c r="ED30" s="94">
        <v>8.9</v>
      </c>
      <c r="EE30" s="94"/>
      <c r="EF30" s="94"/>
      <c r="EG30" s="94"/>
      <c r="EH30" s="94"/>
      <c r="EI30" s="94"/>
      <c r="EJ30" s="94"/>
      <c r="EK30" s="94"/>
      <c r="EL30" s="94">
        <v>1.5</v>
      </c>
      <c r="EM30" s="94"/>
      <c r="EN30" s="94"/>
      <c r="EO30" s="94"/>
      <c r="EP30" s="94">
        <v>8.9700000000000006</v>
      </c>
      <c r="EQ30" s="94"/>
      <c r="ER30" s="94" t="s">
        <v>718</v>
      </c>
      <c r="ES30" s="94"/>
      <c r="ET30" s="94">
        <v>5.78</v>
      </c>
      <c r="EU30" s="94"/>
      <c r="EV30" s="94"/>
      <c r="EW30" s="94"/>
      <c r="EX30" s="94">
        <v>12.58</v>
      </c>
      <c r="EY30" s="94"/>
      <c r="EZ30" s="94"/>
      <c r="FA30" s="94"/>
      <c r="FB30" s="94">
        <v>11.1</v>
      </c>
      <c r="FC30" s="94"/>
      <c r="FD30" s="94"/>
      <c r="FE30" s="94"/>
      <c r="FF30" s="94">
        <v>14.95</v>
      </c>
      <c r="FG30" s="94"/>
      <c r="FH30" s="94"/>
      <c r="FI30" s="94"/>
      <c r="FJ30" s="94">
        <v>1</v>
      </c>
      <c r="FK30" s="94"/>
      <c r="FL30" s="94"/>
      <c r="FM30" s="94"/>
      <c r="FN30" s="137"/>
      <c r="FO30" s="137"/>
      <c r="FP30" s="137"/>
      <c r="FQ30" s="137"/>
    </row>
    <row r="31" spans="1:173" s="4" customFormat="1" x14ac:dyDescent="0.25">
      <c r="A31" s="49" t="s">
        <v>113</v>
      </c>
      <c r="B31" s="89"/>
      <c r="C31" s="89"/>
      <c r="D31" s="89"/>
      <c r="E31" s="89"/>
      <c r="F31" s="89"/>
      <c r="G31" s="89"/>
      <c r="H31" s="89"/>
      <c r="I31" s="89"/>
      <c r="J31" s="86"/>
      <c r="K31" s="89"/>
      <c r="L31" s="89"/>
      <c r="M31" s="89"/>
      <c r="N31" s="86"/>
      <c r="O31" s="89"/>
      <c r="P31" s="89"/>
      <c r="Q31" s="89"/>
      <c r="R31" s="86"/>
      <c r="S31" s="89"/>
      <c r="T31" s="89"/>
      <c r="U31" s="89"/>
      <c r="V31" s="86"/>
      <c r="W31" s="89"/>
      <c r="X31" s="89"/>
      <c r="Y31" s="89"/>
      <c r="Z31" s="86"/>
      <c r="AA31" s="89"/>
      <c r="AB31" s="89"/>
      <c r="AC31" s="89"/>
      <c r="AD31" s="86"/>
      <c r="AE31" s="89"/>
      <c r="AF31" s="89"/>
      <c r="AG31" s="89"/>
      <c r="AH31" s="86"/>
      <c r="AI31" s="89"/>
      <c r="AJ31" s="89"/>
      <c r="AK31" s="89"/>
      <c r="AL31" s="86" t="s">
        <v>258</v>
      </c>
      <c r="AM31" s="89"/>
      <c r="AN31" s="89"/>
      <c r="AO31" s="89"/>
      <c r="AP31" s="86" t="s">
        <v>114</v>
      </c>
      <c r="AQ31" s="89"/>
      <c r="AR31" s="89"/>
      <c r="AS31" s="89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94"/>
      <c r="CY31" s="94"/>
      <c r="CZ31" s="94"/>
      <c r="DA31" s="94"/>
      <c r="DB31" s="94" t="s">
        <v>114</v>
      </c>
      <c r="DC31" s="94"/>
      <c r="DD31" s="94"/>
      <c r="DE31" s="94"/>
      <c r="DF31" s="94" t="s">
        <v>114</v>
      </c>
      <c r="DG31" s="94" t="s">
        <v>114</v>
      </c>
      <c r="DH31" s="94" t="s">
        <v>699</v>
      </c>
      <c r="DI31" s="94" t="s">
        <v>700</v>
      </c>
      <c r="DJ31" s="94" t="s">
        <v>114</v>
      </c>
      <c r="DK31" s="94"/>
      <c r="DL31" s="94"/>
      <c r="DM31" s="94"/>
      <c r="DN31" s="94" t="s">
        <v>114</v>
      </c>
      <c r="DO31" s="94"/>
      <c r="DP31" s="94"/>
      <c r="DQ31" s="94"/>
      <c r="DR31" s="94"/>
      <c r="DS31" s="94"/>
      <c r="DT31" s="94"/>
      <c r="DU31" s="94"/>
      <c r="DV31" s="94"/>
      <c r="DW31" s="94" t="s">
        <v>114</v>
      </c>
      <c r="DX31" s="94"/>
      <c r="DY31" s="94"/>
      <c r="DZ31" s="94" t="s">
        <v>114</v>
      </c>
      <c r="EA31" s="94"/>
      <c r="EB31" s="94"/>
      <c r="EC31" s="94"/>
      <c r="ED31" s="94" t="s">
        <v>114</v>
      </c>
      <c r="EE31" s="94"/>
      <c r="EF31" s="94"/>
      <c r="EG31" s="94"/>
      <c r="EH31" s="94"/>
      <c r="EI31" s="94"/>
      <c r="EJ31" s="94"/>
      <c r="EK31" s="94"/>
      <c r="EL31" s="94" t="s">
        <v>114</v>
      </c>
      <c r="EM31" s="94"/>
      <c r="EN31" s="94"/>
      <c r="EO31" s="94"/>
      <c r="EP31" s="94" t="s">
        <v>114</v>
      </c>
      <c r="EQ31" s="94" t="s">
        <v>720</v>
      </c>
      <c r="ER31" s="94" t="s">
        <v>722</v>
      </c>
      <c r="ES31" s="94"/>
      <c r="ET31" s="94" t="s">
        <v>114</v>
      </c>
      <c r="EU31" s="94"/>
      <c r="EV31" s="94"/>
      <c r="EW31" s="94"/>
      <c r="EX31" s="94" t="s">
        <v>114</v>
      </c>
      <c r="EY31" s="94"/>
      <c r="EZ31" s="94"/>
      <c r="FA31" s="94"/>
      <c r="FB31" s="94" t="s">
        <v>114</v>
      </c>
      <c r="FC31" s="94"/>
      <c r="FD31" s="94"/>
      <c r="FE31" s="94"/>
      <c r="FF31" s="94" t="s">
        <v>114</v>
      </c>
      <c r="FG31" s="94"/>
      <c r="FH31" s="94"/>
      <c r="FI31" s="94"/>
      <c r="FJ31" s="94" t="s">
        <v>114</v>
      </c>
      <c r="FK31" s="94"/>
      <c r="FL31" s="94"/>
      <c r="FM31" s="94"/>
      <c r="FN31" s="137"/>
      <c r="FO31" s="137"/>
      <c r="FP31" s="137"/>
      <c r="FQ31" s="137"/>
    </row>
    <row r="32" spans="1:173" s="4" customFormat="1" x14ac:dyDescent="0.25">
      <c r="A32" s="49" t="s">
        <v>93</v>
      </c>
      <c r="B32" s="89"/>
      <c r="C32" s="89"/>
      <c r="D32" s="89"/>
      <c r="E32" s="89"/>
      <c r="F32" s="89"/>
      <c r="G32" s="89"/>
      <c r="H32" s="89"/>
      <c r="I32" s="89"/>
      <c r="J32" s="86"/>
      <c r="K32" s="89"/>
      <c r="L32" s="89"/>
      <c r="M32" s="89"/>
      <c r="N32" s="86"/>
      <c r="O32" s="89"/>
      <c r="P32" s="89"/>
      <c r="Q32" s="89"/>
      <c r="R32" s="86"/>
      <c r="S32" s="89"/>
      <c r="T32" s="89"/>
      <c r="U32" s="89"/>
      <c r="V32" s="86"/>
      <c r="W32" s="89"/>
      <c r="X32" s="89"/>
      <c r="Y32" s="89"/>
      <c r="Z32" s="86"/>
      <c r="AA32" s="89"/>
      <c r="AB32" s="89"/>
      <c r="AC32" s="89"/>
      <c r="AD32" s="86"/>
      <c r="AE32" s="89"/>
      <c r="AF32" s="89"/>
      <c r="AG32" s="89"/>
      <c r="AH32" s="86"/>
      <c r="AI32" s="89"/>
      <c r="AJ32" s="89"/>
      <c r="AK32" s="89"/>
      <c r="AL32" s="86">
        <v>0.6</v>
      </c>
      <c r="AM32" s="89"/>
      <c r="AN32" s="89"/>
      <c r="AO32" s="89"/>
      <c r="AP32" s="86">
        <v>0.6</v>
      </c>
      <c r="AQ32" s="89"/>
      <c r="AR32" s="89"/>
      <c r="AS32" s="89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94"/>
      <c r="CY32" s="94"/>
      <c r="CZ32" s="94"/>
      <c r="DA32" s="94"/>
      <c r="DB32" s="94">
        <v>1</v>
      </c>
      <c r="DC32" s="94"/>
      <c r="DD32" s="94"/>
      <c r="DE32" s="94"/>
      <c r="DF32" s="94">
        <v>0.62</v>
      </c>
      <c r="DG32" s="94"/>
      <c r="DH32" s="94"/>
      <c r="DI32" s="94"/>
      <c r="DJ32" s="94">
        <v>0.87</v>
      </c>
      <c r="DK32" s="94"/>
      <c r="DL32" s="94"/>
      <c r="DM32" s="94"/>
      <c r="DN32" s="94">
        <v>0.75</v>
      </c>
      <c r="DO32" s="94"/>
      <c r="DP32" s="94"/>
      <c r="DQ32" s="94"/>
      <c r="DR32" s="94"/>
      <c r="DS32" s="94"/>
      <c r="DT32" s="94"/>
      <c r="DU32" s="94"/>
      <c r="DV32" s="94"/>
      <c r="DW32" s="94">
        <v>0.56699999999999995</v>
      </c>
      <c r="DX32" s="94" t="s">
        <v>735</v>
      </c>
      <c r="DY32" s="94"/>
      <c r="DZ32" s="94">
        <v>0.56699999999999995</v>
      </c>
      <c r="EA32" s="94"/>
      <c r="EB32" s="94"/>
      <c r="EC32" s="94"/>
      <c r="ED32" s="94">
        <v>1.02</v>
      </c>
      <c r="EE32" s="94"/>
      <c r="EF32" s="94"/>
      <c r="EG32" s="94"/>
      <c r="EH32" s="94"/>
      <c r="EI32" s="94"/>
      <c r="EJ32" s="94"/>
      <c r="EK32" s="94"/>
      <c r="EL32" s="94">
        <v>0.56699999999999995</v>
      </c>
      <c r="EM32" s="94"/>
      <c r="EN32" s="94"/>
      <c r="EO32" s="94"/>
      <c r="EP32" s="94">
        <v>0.6</v>
      </c>
      <c r="EQ32" s="94"/>
      <c r="ER32" s="94"/>
      <c r="ES32" s="94" t="s">
        <v>721</v>
      </c>
      <c r="ET32" s="94">
        <v>1.5640000000000001</v>
      </c>
      <c r="EU32" s="94"/>
      <c r="EV32" s="94"/>
      <c r="EW32" s="94"/>
      <c r="EX32" s="94">
        <v>0.83</v>
      </c>
      <c r="EY32" s="94"/>
      <c r="EZ32" s="94"/>
      <c r="FA32" s="94"/>
      <c r="FB32" s="94">
        <v>0.03</v>
      </c>
      <c r="FC32" s="94"/>
      <c r="FD32" s="94"/>
      <c r="FE32" s="94"/>
      <c r="FF32" s="94">
        <v>1</v>
      </c>
      <c r="FG32" s="94"/>
      <c r="FH32" s="94"/>
      <c r="FI32" s="94"/>
      <c r="FJ32" s="94">
        <v>1</v>
      </c>
      <c r="FK32" s="94"/>
      <c r="FL32" s="94"/>
      <c r="FM32" s="94"/>
      <c r="FN32" s="137"/>
      <c r="FO32" s="137"/>
      <c r="FP32" s="137"/>
      <c r="FQ32" s="137"/>
    </row>
    <row r="33" spans="1:173" s="4" customFormat="1" x14ac:dyDescent="0.25">
      <c r="A33" s="49" t="s">
        <v>92</v>
      </c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9"/>
      <c r="X33" s="89"/>
      <c r="Y33" s="89"/>
      <c r="Z33" s="86"/>
      <c r="AA33" s="89"/>
      <c r="AB33" s="89"/>
      <c r="AC33" s="89"/>
      <c r="AD33" s="86"/>
      <c r="AE33" s="89"/>
      <c r="AF33" s="89"/>
      <c r="AG33" s="89"/>
      <c r="AH33" s="86"/>
      <c r="AI33" s="89"/>
      <c r="AJ33" s="89"/>
      <c r="AK33" s="89"/>
      <c r="AL33" s="86">
        <f>AL18</f>
        <v>0.88</v>
      </c>
      <c r="AM33" s="89"/>
      <c r="AN33" s="89"/>
      <c r="AO33" s="89"/>
      <c r="AP33" s="86">
        <f>AP18</f>
        <v>0.75</v>
      </c>
      <c r="AQ33" s="89"/>
      <c r="AR33" s="89"/>
      <c r="AS33" s="89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  <c r="CS33" s="75"/>
      <c r="CT33" s="75"/>
      <c r="CU33" s="75"/>
      <c r="CV33" s="75"/>
      <c r="CW33" s="75"/>
      <c r="CX33" s="94"/>
      <c r="CY33" s="94"/>
      <c r="CZ33" s="94"/>
      <c r="DA33" s="94"/>
      <c r="DB33" s="94">
        <f t="shared" ref="DB33:EG33" si="3">DB18</f>
        <v>1</v>
      </c>
      <c r="DC33" s="94">
        <f t="shared" si="3"/>
        <v>0</v>
      </c>
      <c r="DD33" s="94">
        <f t="shared" si="3"/>
        <v>0</v>
      </c>
      <c r="DE33" s="94">
        <f t="shared" si="3"/>
        <v>0</v>
      </c>
      <c r="DF33" s="94">
        <v>0.215</v>
      </c>
      <c r="DG33" s="94">
        <f t="shared" ref="DG33:DI33" si="4">DG18</f>
        <v>0.215</v>
      </c>
      <c r="DH33" s="94" t="str">
        <f t="shared" si="4"/>
        <v>Vanlersberghe2008Handbook</v>
      </c>
      <c r="DI33" s="94" t="str">
        <f t="shared" si="4"/>
        <v>p270</v>
      </c>
      <c r="DJ33" s="94">
        <f t="shared" si="3"/>
        <v>0.33600000000000002</v>
      </c>
      <c r="DK33" s="94">
        <f t="shared" si="3"/>
        <v>0</v>
      </c>
      <c r="DL33" s="94">
        <f t="shared" si="3"/>
        <v>0</v>
      </c>
      <c r="DM33" s="94">
        <f t="shared" si="3"/>
        <v>0</v>
      </c>
      <c r="DN33" s="94">
        <f t="shared" si="3"/>
        <v>0.05</v>
      </c>
      <c r="DO33" s="94">
        <f t="shared" si="3"/>
        <v>0</v>
      </c>
      <c r="DP33" s="94">
        <f t="shared" si="3"/>
        <v>0</v>
      </c>
      <c r="DQ33" s="94">
        <f t="shared" si="3"/>
        <v>0</v>
      </c>
      <c r="DR33" s="94"/>
      <c r="DS33" s="94">
        <f t="shared" si="3"/>
        <v>0</v>
      </c>
      <c r="DT33" s="94">
        <f t="shared" si="3"/>
        <v>0</v>
      </c>
      <c r="DU33" s="94">
        <f t="shared" si="3"/>
        <v>0</v>
      </c>
      <c r="DV33" s="94"/>
      <c r="DW33" s="94" t="str">
        <f t="shared" ref="DW33:DY33" si="5">DW18</f>
        <v>8-12%</v>
      </c>
      <c r="DX33" s="94" t="str">
        <f t="shared" si="5"/>
        <v>Greenblatt1981Clinical</v>
      </c>
      <c r="DY33" s="94">
        <f t="shared" si="5"/>
        <v>0</v>
      </c>
      <c r="DZ33" s="94">
        <f t="shared" si="3"/>
        <v>0.05</v>
      </c>
      <c r="EA33" s="94">
        <f t="shared" si="3"/>
        <v>0</v>
      </c>
      <c r="EB33" s="94">
        <f t="shared" si="3"/>
        <v>0</v>
      </c>
      <c r="EC33" s="94">
        <f t="shared" si="3"/>
        <v>0</v>
      </c>
      <c r="ED33" s="94">
        <f t="shared" si="3"/>
        <v>0.65</v>
      </c>
      <c r="EE33" s="94">
        <f t="shared" si="3"/>
        <v>0</v>
      </c>
      <c r="EF33" s="94">
        <f t="shared" si="3"/>
        <v>0</v>
      </c>
      <c r="EG33" s="94">
        <f t="shared" si="3"/>
        <v>0</v>
      </c>
      <c r="EH33" s="94"/>
      <c r="EI33" s="94">
        <f t="shared" ref="EI33:FI33" si="6">EI18</f>
        <v>0</v>
      </c>
      <c r="EJ33" s="94">
        <f t="shared" si="6"/>
        <v>0</v>
      </c>
      <c r="EK33" s="94">
        <f t="shared" si="6"/>
        <v>0</v>
      </c>
      <c r="EL33" s="94">
        <f t="shared" ref="EL33:ES33" si="7">EL18</f>
        <v>0.08</v>
      </c>
      <c r="EM33" s="94"/>
      <c r="EN33" s="94"/>
      <c r="EO33" s="94"/>
      <c r="EP33" s="94">
        <f t="shared" si="7"/>
        <v>0.05</v>
      </c>
      <c r="EQ33" s="94">
        <f t="shared" si="7"/>
        <v>0</v>
      </c>
      <c r="ER33" s="94">
        <f t="shared" si="7"/>
        <v>0</v>
      </c>
      <c r="ES33" s="94">
        <f t="shared" si="7"/>
        <v>0</v>
      </c>
      <c r="ET33" s="94">
        <f t="shared" si="6"/>
        <v>1</v>
      </c>
      <c r="EU33" s="94">
        <f t="shared" si="6"/>
        <v>0</v>
      </c>
      <c r="EV33" s="94">
        <f t="shared" si="6"/>
        <v>0</v>
      </c>
      <c r="EW33" s="94">
        <f t="shared" si="6"/>
        <v>0</v>
      </c>
      <c r="EX33" s="94">
        <f t="shared" si="6"/>
        <v>0.25</v>
      </c>
      <c r="EY33" s="94">
        <f t="shared" si="6"/>
        <v>0</v>
      </c>
      <c r="EZ33" s="94">
        <f t="shared" si="6"/>
        <v>0</v>
      </c>
      <c r="FA33" s="94">
        <f t="shared" si="6"/>
        <v>0</v>
      </c>
      <c r="FB33" s="94">
        <f t="shared" si="6"/>
        <v>0.03</v>
      </c>
      <c r="FC33" s="94">
        <f t="shared" si="6"/>
        <v>0</v>
      </c>
      <c r="FD33" s="94">
        <f t="shared" si="6"/>
        <v>0</v>
      </c>
      <c r="FE33" s="94">
        <f t="shared" si="6"/>
        <v>0</v>
      </c>
      <c r="FF33" s="94">
        <f t="shared" si="6"/>
        <v>0.7</v>
      </c>
      <c r="FG33" s="94">
        <f t="shared" si="6"/>
        <v>0</v>
      </c>
      <c r="FH33" s="94">
        <f t="shared" si="6"/>
        <v>0</v>
      </c>
      <c r="FI33" s="94">
        <f t="shared" si="6"/>
        <v>0</v>
      </c>
      <c r="FJ33" s="94">
        <v>0.8</v>
      </c>
      <c r="FK33" s="94"/>
      <c r="FL33" s="94"/>
      <c r="FM33" s="94"/>
      <c r="FN33" s="137"/>
      <c r="FO33" s="137"/>
      <c r="FP33" s="137"/>
      <c r="FQ33" s="137"/>
    </row>
    <row r="34" spans="1:173" s="4" customFormat="1" x14ac:dyDescent="0.25">
      <c r="A34" s="49" t="s">
        <v>89</v>
      </c>
      <c r="B34" s="89"/>
      <c r="C34" s="89"/>
      <c r="D34" s="89"/>
      <c r="E34" s="89"/>
      <c r="F34" s="89"/>
      <c r="G34" s="89"/>
      <c r="H34" s="89"/>
      <c r="I34" s="89"/>
      <c r="J34" s="86"/>
      <c r="K34" s="89"/>
      <c r="L34" s="89"/>
      <c r="M34" s="89"/>
      <c r="N34" s="86"/>
      <c r="O34" s="89"/>
      <c r="P34" s="89"/>
      <c r="Q34" s="89"/>
      <c r="R34" s="86"/>
      <c r="S34" s="89"/>
      <c r="T34" s="89"/>
      <c r="U34" s="89"/>
      <c r="V34" s="86"/>
      <c r="W34" s="89"/>
      <c r="X34" s="89"/>
      <c r="Y34" s="89"/>
      <c r="Z34" s="86"/>
      <c r="AA34" s="89"/>
      <c r="AB34" s="89"/>
      <c r="AC34" s="89"/>
      <c r="AD34" s="86"/>
      <c r="AE34" s="89"/>
      <c r="AF34" s="89"/>
      <c r="AG34" s="89"/>
      <c r="AH34" s="86"/>
      <c r="AI34" s="89"/>
      <c r="AJ34" s="89"/>
      <c r="AK34" s="89"/>
      <c r="AL34" s="86" t="s">
        <v>100</v>
      </c>
      <c r="AM34" s="89"/>
      <c r="AN34" s="89"/>
      <c r="AO34" s="89"/>
      <c r="AP34" s="86" t="s">
        <v>127</v>
      </c>
      <c r="AQ34" s="89"/>
      <c r="AR34" s="89"/>
      <c r="AS34" s="89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6"/>
      <c r="CM34" s="77"/>
      <c r="CN34" s="77"/>
      <c r="CO34" s="75"/>
      <c r="CP34" s="75"/>
      <c r="CQ34" s="75"/>
      <c r="CR34" s="75"/>
      <c r="CS34" s="75"/>
      <c r="CT34" s="75"/>
      <c r="CU34" s="75"/>
      <c r="CV34" s="75"/>
      <c r="CW34" s="75"/>
      <c r="CX34" s="94"/>
      <c r="CY34" s="94"/>
      <c r="CZ34" s="94"/>
      <c r="DA34" s="94"/>
      <c r="DB34" s="94" t="s">
        <v>123</v>
      </c>
      <c r="DC34" s="94"/>
      <c r="DD34" s="94"/>
      <c r="DE34" s="94"/>
      <c r="DF34" s="94" t="s">
        <v>100</v>
      </c>
      <c r="DG34" s="94"/>
      <c r="DH34" s="94"/>
      <c r="DI34" s="94"/>
      <c r="DJ34" s="94" t="s">
        <v>100</v>
      </c>
      <c r="DK34" s="94"/>
      <c r="DL34" s="94"/>
      <c r="DM34" s="94"/>
      <c r="DN34" s="94" t="s">
        <v>127</v>
      </c>
      <c r="DO34" s="94"/>
      <c r="DP34" s="94"/>
      <c r="DQ34" s="94"/>
      <c r="DR34" s="94"/>
      <c r="DS34" s="94"/>
      <c r="DT34" s="94"/>
      <c r="DU34" s="94"/>
      <c r="DV34" s="94"/>
      <c r="DW34" s="94" t="s">
        <v>100</v>
      </c>
      <c r="DX34" s="94"/>
      <c r="DY34" s="94"/>
      <c r="DZ34" s="94" t="s">
        <v>100</v>
      </c>
      <c r="EA34" s="94"/>
      <c r="EB34" s="94"/>
      <c r="EC34" s="94"/>
      <c r="ED34" s="94" t="s">
        <v>100</v>
      </c>
      <c r="EE34" s="94"/>
      <c r="EF34" s="94"/>
      <c r="EG34" s="94"/>
      <c r="EH34" s="94"/>
      <c r="EI34" s="94"/>
      <c r="EJ34" s="94"/>
      <c r="EK34" s="94"/>
      <c r="EL34" s="94" t="s">
        <v>100</v>
      </c>
      <c r="EM34" s="94"/>
      <c r="EN34" s="94"/>
      <c r="EO34" s="94"/>
      <c r="EP34" s="94" t="s">
        <v>127</v>
      </c>
      <c r="EQ34" s="94"/>
      <c r="ER34" s="94"/>
      <c r="ES34" s="94"/>
      <c r="ET34" s="94" t="s">
        <v>100</v>
      </c>
      <c r="EU34" s="94"/>
      <c r="EV34" s="94"/>
      <c r="EW34" s="94"/>
      <c r="EX34" s="94" t="s">
        <v>123</v>
      </c>
      <c r="EY34" s="94"/>
      <c r="EZ34" s="94"/>
      <c r="FA34" s="94"/>
      <c r="FB34" s="94" t="s">
        <v>127</v>
      </c>
      <c r="FC34" s="94"/>
      <c r="FD34" s="94"/>
      <c r="FE34" s="94"/>
      <c r="FF34" s="94" t="s">
        <v>100</v>
      </c>
      <c r="FG34" s="94"/>
      <c r="FH34" s="94"/>
      <c r="FI34" s="94"/>
      <c r="FJ34" s="94" t="s">
        <v>116</v>
      </c>
      <c r="FK34" s="94"/>
      <c r="FL34" s="94"/>
      <c r="FM34" s="94"/>
      <c r="FN34" s="137"/>
      <c r="FO34" s="137"/>
      <c r="FP34" s="137"/>
      <c r="FQ34" s="137"/>
    </row>
    <row r="35" spans="1:173" s="4" customFormat="1" x14ac:dyDescent="0.25">
      <c r="A35" s="49" t="s">
        <v>91</v>
      </c>
      <c r="B35" s="89"/>
      <c r="C35" s="89"/>
      <c r="D35" s="89"/>
      <c r="E35" s="89"/>
      <c r="F35" s="89"/>
      <c r="G35" s="89"/>
      <c r="H35" s="89"/>
      <c r="I35" s="89"/>
      <c r="J35" s="86"/>
      <c r="K35" s="89"/>
      <c r="L35" s="89"/>
      <c r="M35" s="89"/>
      <c r="N35" s="86"/>
      <c r="O35" s="89"/>
      <c r="P35" s="89"/>
      <c r="Q35" s="89"/>
      <c r="R35" s="86"/>
      <c r="S35" s="89"/>
      <c r="T35" s="89"/>
      <c r="U35" s="89"/>
      <c r="V35" s="86"/>
      <c r="W35" s="89"/>
      <c r="X35" s="89"/>
      <c r="Y35" s="89"/>
      <c r="Z35" s="86"/>
      <c r="AA35" s="89"/>
      <c r="AB35" s="89"/>
      <c r="AC35" s="89"/>
      <c r="AD35" s="86"/>
      <c r="AE35" s="89"/>
      <c r="AF35" s="89"/>
      <c r="AG35" s="89"/>
      <c r="AH35" s="86"/>
      <c r="AI35" s="89"/>
      <c r="AJ35" s="89"/>
      <c r="AK35" s="89"/>
      <c r="AL35" s="86">
        <v>-1.37</v>
      </c>
      <c r="AM35" s="89"/>
      <c r="AN35" s="89"/>
      <c r="AO35" s="89"/>
      <c r="AP35" s="86">
        <v>-1.24</v>
      </c>
      <c r="AQ35" s="89">
        <v>-1.24</v>
      </c>
      <c r="AR35" s="89" t="s">
        <v>711</v>
      </c>
      <c r="AS35" s="89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A35" s="75"/>
      <c r="CB35" s="75"/>
      <c r="CC35" s="75"/>
      <c r="CD35" s="75"/>
      <c r="CE35" s="75"/>
      <c r="CF35" s="75"/>
      <c r="CG35" s="75"/>
      <c r="CH35" s="75"/>
      <c r="CI35" s="75"/>
      <c r="CJ35" s="75"/>
      <c r="CK35" s="75"/>
      <c r="CL35" s="76"/>
      <c r="CM35" s="76"/>
      <c r="CN35" s="76"/>
      <c r="CO35" s="76"/>
      <c r="CP35" s="75"/>
      <c r="CQ35" s="75"/>
      <c r="CR35" s="75"/>
      <c r="CS35" s="75"/>
      <c r="CT35" s="75"/>
      <c r="CU35" s="75"/>
      <c r="CV35" s="75"/>
      <c r="CW35" s="75"/>
      <c r="CX35" s="94"/>
      <c r="CY35" s="94"/>
      <c r="CZ35" s="94"/>
      <c r="DA35" s="94"/>
      <c r="DB35" s="94">
        <v>2.06</v>
      </c>
      <c r="DC35" s="94"/>
      <c r="DD35" s="94"/>
      <c r="DE35" s="94"/>
      <c r="DF35" s="94">
        <v>3.05</v>
      </c>
      <c r="DG35" s="94">
        <v>3.05</v>
      </c>
      <c r="DH35" s="94" t="s">
        <v>706</v>
      </c>
      <c r="DI35" s="94"/>
      <c r="DJ35" s="94">
        <v>4.55</v>
      </c>
      <c r="DK35" s="94"/>
      <c r="DL35" s="94"/>
      <c r="DM35" s="94"/>
      <c r="DN35" s="94">
        <v>2.0299999999999998</v>
      </c>
      <c r="DO35" s="94"/>
      <c r="DP35" s="94"/>
      <c r="DQ35" s="94"/>
      <c r="DR35" s="94"/>
      <c r="DS35" s="94"/>
      <c r="DT35" s="94"/>
      <c r="DU35" s="94"/>
      <c r="DV35" s="94"/>
      <c r="DW35" s="94" t="s">
        <v>730</v>
      </c>
      <c r="DX35" s="94" t="s">
        <v>728</v>
      </c>
      <c r="DY35" s="94"/>
      <c r="DZ35" s="94">
        <v>3.33</v>
      </c>
      <c r="EA35" s="94"/>
      <c r="EB35" s="94"/>
      <c r="EC35" s="94"/>
      <c r="ED35" s="94">
        <v>0.89</v>
      </c>
      <c r="EE35" s="94"/>
      <c r="EF35" s="94"/>
      <c r="EG35" s="94"/>
      <c r="EH35" s="94"/>
      <c r="EI35" s="94"/>
      <c r="EJ35" s="94"/>
      <c r="EK35" s="94"/>
      <c r="EL35" s="94">
        <v>3.33</v>
      </c>
      <c r="EM35" s="94"/>
      <c r="EN35" s="94"/>
      <c r="EO35" s="94"/>
      <c r="EP35" s="94">
        <v>-0.31</v>
      </c>
      <c r="EQ35" s="94"/>
      <c r="ER35" s="94" t="s">
        <v>718</v>
      </c>
      <c r="ES35" s="94"/>
      <c r="ET35" s="94">
        <v>1.5640000000000001</v>
      </c>
      <c r="EU35" s="94"/>
      <c r="EV35" s="94"/>
      <c r="EW35" s="94"/>
      <c r="EX35" s="94">
        <v>1.46</v>
      </c>
      <c r="EY35" s="94"/>
      <c r="EZ35" s="94"/>
      <c r="FA35" s="94"/>
      <c r="FB35" s="94">
        <v>3.79</v>
      </c>
      <c r="FC35" s="94"/>
      <c r="FD35" s="94"/>
      <c r="FE35" s="94"/>
      <c r="FF35" s="94">
        <v>2.77</v>
      </c>
      <c r="FG35" s="94"/>
      <c r="FH35" s="94"/>
      <c r="FI35" s="94"/>
      <c r="FJ35" s="94">
        <v>-1.5</v>
      </c>
      <c r="FK35" s="94"/>
      <c r="FL35" s="94"/>
      <c r="FM35" s="94"/>
      <c r="FN35" s="137"/>
      <c r="FO35" s="137"/>
      <c r="FP35" s="137"/>
      <c r="FQ35" s="137"/>
    </row>
    <row r="36" spans="1:173" ht="15.75" thickBot="1" x14ac:dyDescent="0.3">
      <c r="A36" s="63" t="s">
        <v>333</v>
      </c>
      <c r="B36" s="45"/>
      <c r="C36" s="90" t="s">
        <v>355</v>
      </c>
      <c r="D36" s="90" t="s">
        <v>356</v>
      </c>
      <c r="E36" s="90" t="s">
        <v>357</v>
      </c>
      <c r="F36" s="45"/>
      <c r="G36" s="90" t="s">
        <v>355</v>
      </c>
      <c r="H36" s="90" t="s">
        <v>356</v>
      </c>
      <c r="I36" s="90" t="s">
        <v>357</v>
      </c>
      <c r="J36" s="45"/>
      <c r="K36" s="90" t="s">
        <v>355</v>
      </c>
      <c r="L36" s="90" t="s">
        <v>356</v>
      </c>
      <c r="M36" s="90" t="s">
        <v>357</v>
      </c>
      <c r="N36" s="45"/>
      <c r="O36" s="90" t="s">
        <v>355</v>
      </c>
      <c r="P36" s="90" t="s">
        <v>356</v>
      </c>
      <c r="Q36" s="90" t="s">
        <v>357</v>
      </c>
      <c r="R36" s="45"/>
      <c r="S36" s="90" t="s">
        <v>355</v>
      </c>
      <c r="T36" s="90" t="s">
        <v>356</v>
      </c>
      <c r="U36" s="90" t="s">
        <v>357</v>
      </c>
      <c r="V36" s="45"/>
      <c r="W36" s="90" t="s">
        <v>355</v>
      </c>
      <c r="X36" s="90" t="s">
        <v>356</v>
      </c>
      <c r="Y36" s="90" t="s">
        <v>357</v>
      </c>
      <c r="Z36" s="45"/>
      <c r="AA36" s="90" t="s">
        <v>355</v>
      </c>
      <c r="AB36" s="90" t="s">
        <v>356</v>
      </c>
      <c r="AC36" s="90" t="s">
        <v>357</v>
      </c>
      <c r="AD36" s="45"/>
      <c r="AE36" s="90" t="s">
        <v>355</v>
      </c>
      <c r="AF36" s="90" t="s">
        <v>356</v>
      </c>
      <c r="AG36" s="90" t="s">
        <v>357</v>
      </c>
      <c r="AH36" s="45"/>
      <c r="AI36" s="90" t="s">
        <v>355</v>
      </c>
      <c r="AJ36" s="90" t="s">
        <v>356</v>
      </c>
      <c r="AK36" s="90" t="s">
        <v>357</v>
      </c>
      <c r="AL36" s="45"/>
      <c r="AM36" s="90" t="s">
        <v>355</v>
      </c>
      <c r="AN36" s="90" t="s">
        <v>356</v>
      </c>
      <c r="AO36" s="90" t="s">
        <v>357</v>
      </c>
      <c r="AP36" s="45"/>
      <c r="AQ36" s="90" t="s">
        <v>355</v>
      </c>
      <c r="AR36" s="90" t="s">
        <v>356</v>
      </c>
      <c r="AS36" s="90" t="s">
        <v>357</v>
      </c>
      <c r="AT36" s="74" t="s">
        <v>268</v>
      </c>
      <c r="AU36" s="79" t="s">
        <v>355</v>
      </c>
      <c r="AV36" s="79" t="s">
        <v>356</v>
      </c>
      <c r="AW36" s="79" t="s">
        <v>357</v>
      </c>
      <c r="AX36" s="74"/>
      <c r="AY36" s="79" t="s">
        <v>355</v>
      </c>
      <c r="AZ36" s="79" t="s">
        <v>356</v>
      </c>
      <c r="BA36" s="79" t="s">
        <v>357</v>
      </c>
      <c r="BB36" s="74"/>
      <c r="BC36" s="79" t="s">
        <v>355</v>
      </c>
      <c r="BD36" s="79" t="s">
        <v>356</v>
      </c>
      <c r="BE36" s="79" t="s">
        <v>357</v>
      </c>
      <c r="BF36" s="74"/>
      <c r="BG36" s="79" t="s">
        <v>355</v>
      </c>
      <c r="BH36" s="79" t="s">
        <v>356</v>
      </c>
      <c r="BI36" s="79" t="s">
        <v>357</v>
      </c>
      <c r="BJ36" s="74"/>
      <c r="BK36" s="79" t="s">
        <v>355</v>
      </c>
      <c r="BL36" s="79" t="s">
        <v>356</v>
      </c>
      <c r="BM36" s="79" t="s">
        <v>357</v>
      </c>
      <c r="BN36" s="74"/>
      <c r="BO36" s="79" t="s">
        <v>355</v>
      </c>
      <c r="BP36" s="79" t="s">
        <v>356</v>
      </c>
      <c r="BQ36" s="79" t="s">
        <v>357</v>
      </c>
      <c r="BR36" s="74"/>
      <c r="BS36" s="79" t="s">
        <v>355</v>
      </c>
      <c r="BT36" s="79" t="s">
        <v>356</v>
      </c>
      <c r="BU36" s="79" t="s">
        <v>357</v>
      </c>
      <c r="BV36" s="74"/>
      <c r="BW36" s="79" t="s">
        <v>355</v>
      </c>
      <c r="BX36" s="79" t="s">
        <v>356</v>
      </c>
      <c r="BY36" s="79" t="s">
        <v>357</v>
      </c>
      <c r="BZ36" s="74"/>
      <c r="CA36" s="79" t="s">
        <v>355</v>
      </c>
      <c r="CB36" s="79" t="s">
        <v>356</v>
      </c>
      <c r="CC36" s="79" t="s">
        <v>357</v>
      </c>
      <c r="CD36" s="74"/>
      <c r="CE36" s="79" t="s">
        <v>355</v>
      </c>
      <c r="CF36" s="79" t="s">
        <v>356</v>
      </c>
      <c r="CG36" s="79" t="s">
        <v>357</v>
      </c>
      <c r="CH36" s="74"/>
      <c r="CI36" s="79" t="s">
        <v>355</v>
      </c>
      <c r="CJ36" s="79" t="s">
        <v>356</v>
      </c>
      <c r="CK36" s="79" t="s">
        <v>357</v>
      </c>
      <c r="CL36" s="74"/>
      <c r="CM36" s="79" t="s">
        <v>355</v>
      </c>
      <c r="CN36" s="79" t="s">
        <v>356</v>
      </c>
      <c r="CO36" s="79" t="s">
        <v>357</v>
      </c>
      <c r="CP36" s="74"/>
      <c r="CQ36" s="79" t="s">
        <v>355</v>
      </c>
      <c r="CR36" s="79" t="s">
        <v>356</v>
      </c>
      <c r="CS36" s="79" t="s">
        <v>357</v>
      </c>
      <c r="CT36" s="74"/>
      <c r="CU36" s="79" t="s">
        <v>355</v>
      </c>
      <c r="CV36" s="79" t="s">
        <v>356</v>
      </c>
      <c r="CW36" s="79" t="s">
        <v>357</v>
      </c>
      <c r="CX36" s="95"/>
      <c r="CY36" s="93" t="s">
        <v>355</v>
      </c>
      <c r="CZ36" s="93" t="s">
        <v>356</v>
      </c>
      <c r="DA36" s="93" t="s">
        <v>357</v>
      </c>
      <c r="DB36" s="57"/>
      <c r="DC36" s="93" t="s">
        <v>355</v>
      </c>
      <c r="DD36" s="93" t="s">
        <v>356</v>
      </c>
      <c r="DE36" s="93" t="s">
        <v>357</v>
      </c>
      <c r="DF36" s="95"/>
      <c r="DG36" s="93" t="s">
        <v>355</v>
      </c>
      <c r="DH36" s="93" t="s">
        <v>356</v>
      </c>
      <c r="DI36" s="93" t="s">
        <v>357</v>
      </c>
      <c r="DJ36" s="95"/>
      <c r="DK36" s="93" t="s">
        <v>355</v>
      </c>
      <c r="DL36" s="93" t="s">
        <v>356</v>
      </c>
      <c r="DM36" s="93" t="s">
        <v>357</v>
      </c>
      <c r="DN36" s="95"/>
      <c r="DO36" s="93" t="s">
        <v>355</v>
      </c>
      <c r="DP36" s="93" t="s">
        <v>356</v>
      </c>
      <c r="DQ36" s="93" t="s">
        <v>357</v>
      </c>
      <c r="DR36" s="95"/>
      <c r="DS36" s="93" t="s">
        <v>355</v>
      </c>
      <c r="DT36" s="93" t="s">
        <v>356</v>
      </c>
      <c r="DU36" s="93" t="s">
        <v>357</v>
      </c>
      <c r="DV36" s="95"/>
      <c r="DW36" s="93" t="s">
        <v>355</v>
      </c>
      <c r="DX36" s="93" t="s">
        <v>356</v>
      </c>
      <c r="DY36" s="93" t="s">
        <v>357</v>
      </c>
      <c r="DZ36" s="95"/>
      <c r="EA36" s="93" t="s">
        <v>355</v>
      </c>
      <c r="EB36" s="93" t="s">
        <v>356</v>
      </c>
      <c r="EC36" s="93" t="s">
        <v>357</v>
      </c>
      <c r="ED36" s="95"/>
      <c r="EE36" s="93" t="s">
        <v>355</v>
      </c>
      <c r="EF36" s="93" t="s">
        <v>356</v>
      </c>
      <c r="EG36" s="93" t="s">
        <v>357</v>
      </c>
      <c r="EH36" s="95"/>
      <c r="EI36" s="93" t="s">
        <v>355</v>
      </c>
      <c r="EJ36" s="93" t="s">
        <v>356</v>
      </c>
      <c r="EK36" s="93" t="s">
        <v>357</v>
      </c>
      <c r="EL36" s="93"/>
      <c r="EM36" s="93" t="s">
        <v>355</v>
      </c>
      <c r="EN36" s="93" t="s">
        <v>356</v>
      </c>
      <c r="EO36" s="93" t="s">
        <v>357</v>
      </c>
      <c r="EP36" s="57"/>
      <c r="EQ36" s="93" t="s">
        <v>355</v>
      </c>
      <c r="ER36" s="93" t="s">
        <v>356</v>
      </c>
      <c r="ES36" s="93" t="s">
        <v>357</v>
      </c>
      <c r="ET36" s="57"/>
      <c r="EU36" s="93" t="s">
        <v>355</v>
      </c>
      <c r="EV36" s="93" t="s">
        <v>356</v>
      </c>
      <c r="EW36" s="93" t="s">
        <v>357</v>
      </c>
      <c r="EX36" s="57"/>
      <c r="EY36" s="93" t="s">
        <v>355</v>
      </c>
      <c r="EZ36" s="93" t="s">
        <v>356</v>
      </c>
      <c r="FA36" s="93" t="s">
        <v>357</v>
      </c>
      <c r="FB36" s="95"/>
      <c r="FC36" s="93" t="s">
        <v>355</v>
      </c>
      <c r="FD36" s="93" t="s">
        <v>356</v>
      </c>
      <c r="FE36" s="93" t="s">
        <v>357</v>
      </c>
      <c r="FF36" s="95"/>
      <c r="FG36" s="93" t="s">
        <v>355</v>
      </c>
      <c r="FH36" s="93" t="s">
        <v>356</v>
      </c>
      <c r="FI36" s="93" t="s">
        <v>357</v>
      </c>
      <c r="FJ36" s="95"/>
      <c r="FK36" s="93" t="s">
        <v>355</v>
      </c>
      <c r="FL36" s="93" t="s">
        <v>356</v>
      </c>
      <c r="FM36" s="93" t="s">
        <v>357</v>
      </c>
      <c r="FN36" s="135"/>
      <c r="FO36" s="136" t="s">
        <v>355</v>
      </c>
      <c r="FP36" s="136" t="s">
        <v>356</v>
      </c>
      <c r="FQ36" s="136" t="s">
        <v>357</v>
      </c>
    </row>
    <row r="37" spans="1:173" s="5" customFormat="1" x14ac:dyDescent="0.25">
      <c r="A37" s="51" t="s">
        <v>316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>
        <v>0.3</v>
      </c>
      <c r="AM37" s="97"/>
      <c r="AN37" s="97" t="s">
        <v>359</v>
      </c>
      <c r="AO37" s="97" t="s">
        <v>632</v>
      </c>
      <c r="AP37" s="97">
        <v>0</v>
      </c>
      <c r="AQ37" s="97"/>
      <c r="AR37" s="97" t="s">
        <v>359</v>
      </c>
      <c r="AS37" s="97" t="s">
        <v>632</v>
      </c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  <c r="CF37" s="76"/>
      <c r="CG37" s="76"/>
      <c r="CH37" s="76"/>
      <c r="CI37" s="76"/>
      <c r="CJ37" s="76"/>
      <c r="CK37" s="76"/>
      <c r="CL37" s="76"/>
      <c r="CM37" s="76"/>
      <c r="CN37" s="76"/>
      <c r="CO37" s="76"/>
      <c r="CP37" s="76"/>
      <c r="CQ37" s="76"/>
      <c r="CR37" s="76"/>
      <c r="CS37" s="76"/>
      <c r="CT37" s="76"/>
      <c r="CU37" s="76"/>
      <c r="CV37" s="76"/>
      <c r="CW37" s="76"/>
      <c r="CX37" s="98">
        <v>0</v>
      </c>
      <c r="CY37" s="98"/>
      <c r="CZ37" s="98"/>
      <c r="DA37" s="98"/>
      <c r="DB37" s="98">
        <v>0</v>
      </c>
      <c r="DC37" s="98"/>
      <c r="DD37" s="98"/>
      <c r="DE37" s="98"/>
      <c r="DF37" s="98">
        <v>0</v>
      </c>
      <c r="DG37" s="98"/>
      <c r="DH37" s="94" t="s">
        <v>702</v>
      </c>
      <c r="DI37" s="98"/>
      <c r="DJ37" s="98">
        <v>0</v>
      </c>
      <c r="DK37" s="98"/>
      <c r="DL37" s="98"/>
      <c r="DM37" s="98"/>
      <c r="DN37" s="98">
        <v>0</v>
      </c>
      <c r="DO37" s="98"/>
      <c r="DP37" s="98"/>
      <c r="DQ37" s="98"/>
      <c r="DR37" s="98">
        <v>1</v>
      </c>
      <c r="DS37" s="98"/>
      <c r="DT37" s="98"/>
      <c r="DU37" s="98"/>
      <c r="DV37" s="98">
        <v>0</v>
      </c>
      <c r="DW37" s="98"/>
      <c r="DX37" s="98"/>
      <c r="DY37" s="98"/>
      <c r="DZ37" s="98">
        <v>0</v>
      </c>
      <c r="EA37" s="98"/>
      <c r="EB37" s="98"/>
      <c r="EC37" s="98"/>
      <c r="ED37" s="98">
        <v>0</v>
      </c>
      <c r="EE37" s="98"/>
      <c r="EF37" s="98"/>
      <c r="EG37" s="98"/>
      <c r="EH37" s="98">
        <v>0</v>
      </c>
      <c r="EI37" s="98"/>
      <c r="EJ37" s="98"/>
      <c r="EK37" s="98"/>
      <c r="EL37" s="98">
        <v>0</v>
      </c>
      <c r="EM37" s="98"/>
      <c r="EN37" s="98"/>
      <c r="EO37" s="98"/>
      <c r="EP37" s="98">
        <v>0</v>
      </c>
      <c r="EQ37" s="98"/>
      <c r="ER37" s="98"/>
      <c r="ES37" s="98"/>
      <c r="ET37" s="98">
        <v>0</v>
      </c>
      <c r="EU37" s="98"/>
      <c r="EV37" s="98"/>
      <c r="EW37" s="98"/>
      <c r="EX37" s="98">
        <v>0</v>
      </c>
      <c r="EY37" s="98"/>
      <c r="EZ37" s="98"/>
      <c r="FA37" s="98"/>
      <c r="FB37" s="98">
        <v>0</v>
      </c>
      <c r="FC37" s="98"/>
      <c r="FD37" s="98"/>
      <c r="FE37" s="98"/>
      <c r="FF37" s="98">
        <v>0</v>
      </c>
      <c r="FG37" s="98"/>
      <c r="FH37" s="98"/>
      <c r="FI37" s="98"/>
      <c r="FJ37" s="98">
        <v>0</v>
      </c>
      <c r="FK37" s="98"/>
      <c r="FL37" s="98"/>
      <c r="FM37" s="98"/>
      <c r="FN37" s="138"/>
      <c r="FO37" s="138"/>
      <c r="FP37" s="138"/>
      <c r="FQ37" s="138"/>
    </row>
    <row r="38" spans="1:173" s="5" customFormat="1" x14ac:dyDescent="0.25">
      <c r="A38" s="51" t="s">
        <v>317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>
        <v>-0.25</v>
      </c>
      <c r="AM38" s="97"/>
      <c r="AN38" s="97"/>
      <c r="AO38" s="97"/>
      <c r="AP38" s="97">
        <v>0.25</v>
      </c>
      <c r="AQ38" s="97"/>
      <c r="AR38" s="97"/>
      <c r="AS38" s="97"/>
      <c r="AT38" s="76"/>
      <c r="AU38" s="76"/>
      <c r="AV38" s="76"/>
      <c r="AW38" s="76"/>
      <c r="AX38" s="76"/>
      <c r="AY38" s="76"/>
      <c r="AZ38" s="76"/>
      <c r="BA38" s="76"/>
      <c r="BB38" s="76"/>
      <c r="BC38" s="76"/>
      <c r="BD38" s="76"/>
      <c r="BE38" s="76"/>
      <c r="BF38" s="76"/>
      <c r="BG38" s="76"/>
      <c r="BH38" s="76"/>
      <c r="BI38" s="76"/>
      <c r="BJ38" s="76"/>
      <c r="BK38" s="76"/>
      <c r="BL38" s="76"/>
      <c r="BM38" s="76"/>
      <c r="BN38" s="76"/>
      <c r="BO38" s="76"/>
      <c r="BP38" s="76"/>
      <c r="BQ38" s="76"/>
      <c r="BR38" s="76"/>
      <c r="BS38" s="76"/>
      <c r="BT38" s="76"/>
      <c r="BU38" s="76"/>
      <c r="BV38" s="76"/>
      <c r="BW38" s="76"/>
      <c r="BX38" s="76"/>
      <c r="BY38" s="76"/>
      <c r="BZ38" s="76"/>
      <c r="CA38" s="76"/>
      <c r="CB38" s="76"/>
      <c r="CC38" s="76"/>
      <c r="CD38" s="76"/>
      <c r="CE38" s="76"/>
      <c r="CF38" s="76"/>
      <c r="CG38" s="76"/>
      <c r="CH38" s="76"/>
      <c r="CI38" s="76"/>
      <c r="CJ38" s="76"/>
      <c r="CK38" s="76"/>
      <c r="CL38" s="76"/>
      <c r="CM38" s="76"/>
      <c r="CN38" s="76"/>
      <c r="CO38" s="76"/>
      <c r="CP38" s="76"/>
      <c r="CQ38" s="76"/>
      <c r="CR38" s="76"/>
      <c r="CS38" s="76"/>
      <c r="CT38" s="76"/>
      <c r="CU38" s="76"/>
      <c r="CV38" s="76"/>
      <c r="CW38" s="76"/>
      <c r="CX38" s="98">
        <v>0</v>
      </c>
      <c r="CY38" s="98"/>
      <c r="CZ38" s="98"/>
      <c r="DA38" s="98"/>
      <c r="DB38" s="98">
        <v>-0.4</v>
      </c>
      <c r="DC38" s="98"/>
      <c r="DD38" s="98"/>
      <c r="DE38" s="98"/>
      <c r="DF38" s="98">
        <v>0</v>
      </c>
      <c r="DG38" s="98"/>
      <c r="DH38" s="94" t="s">
        <v>702</v>
      </c>
      <c r="DI38" s="98"/>
      <c r="DJ38" s="98">
        <v>-0.1</v>
      </c>
      <c r="DK38" s="98"/>
      <c r="DL38" s="98"/>
      <c r="DM38" s="98"/>
      <c r="DN38" s="98">
        <v>0</v>
      </c>
      <c r="DO38" s="98"/>
      <c r="DP38" s="98"/>
      <c r="DQ38" s="98"/>
      <c r="DR38" s="98">
        <v>0.3</v>
      </c>
      <c r="DS38" s="98"/>
      <c r="DT38" s="98"/>
      <c r="DU38" s="98"/>
      <c r="DV38" s="98">
        <v>-0.25</v>
      </c>
      <c r="DW38" s="98"/>
      <c r="DX38" s="98"/>
      <c r="DY38" s="98"/>
      <c r="DZ38" s="98">
        <v>-0.25</v>
      </c>
      <c r="EA38" s="98"/>
      <c r="EB38" s="98"/>
      <c r="EC38" s="98"/>
      <c r="ED38" s="98">
        <v>-7.0000000000000007E-2</v>
      </c>
      <c r="EE38" s="98"/>
      <c r="EF38" s="98"/>
      <c r="EG38" s="98"/>
      <c r="EH38" s="98">
        <v>0.1</v>
      </c>
      <c r="EI38" s="98"/>
      <c r="EJ38" s="98"/>
      <c r="EK38" s="98"/>
      <c r="EL38" s="98">
        <v>0</v>
      </c>
      <c r="EM38" s="98"/>
      <c r="EN38" s="98"/>
      <c r="EO38" s="98"/>
      <c r="EP38" s="98">
        <v>0.35</v>
      </c>
      <c r="EQ38" s="98"/>
      <c r="ER38" s="98"/>
      <c r="ES38" s="98"/>
      <c r="ET38" s="98">
        <v>0.15</v>
      </c>
      <c r="EU38" s="98"/>
      <c r="EV38" s="98"/>
      <c r="EW38" s="98"/>
      <c r="EX38" s="98">
        <v>0</v>
      </c>
      <c r="EY38" s="98"/>
      <c r="EZ38" s="98"/>
      <c r="FA38" s="98"/>
      <c r="FB38" s="98">
        <v>-0.35</v>
      </c>
      <c r="FC38" s="98"/>
      <c r="FD38" s="98"/>
      <c r="FE38" s="98"/>
      <c r="FF38" s="98">
        <v>0</v>
      </c>
      <c r="FG38" s="98"/>
      <c r="FH38" s="98"/>
      <c r="FI38" s="98"/>
      <c r="FJ38" s="98">
        <v>-0.1</v>
      </c>
      <c r="FK38" s="98"/>
      <c r="FL38" s="98"/>
      <c r="FM38" s="98"/>
      <c r="FN38" s="138"/>
      <c r="FO38" s="138"/>
      <c r="FP38" s="138"/>
      <c r="FQ38" s="138"/>
    </row>
    <row r="39" spans="1:173" s="5" customFormat="1" x14ac:dyDescent="0.25">
      <c r="A39" s="51" t="s">
        <v>318</v>
      </c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 t="s">
        <v>647</v>
      </c>
      <c r="AM39" s="97"/>
      <c r="AN39" s="97"/>
      <c r="AO39" s="97"/>
      <c r="AP39" s="97" t="s">
        <v>673</v>
      </c>
      <c r="AQ39" s="97"/>
      <c r="AR39" s="97"/>
      <c r="AS39" s="97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6"/>
      <c r="BM39" s="76"/>
      <c r="BN39" s="76"/>
      <c r="BO39" s="76"/>
      <c r="BP39" s="76"/>
      <c r="BQ39" s="76"/>
      <c r="BR39" s="76"/>
      <c r="BS39" s="76"/>
      <c r="BT39" s="76"/>
      <c r="BU39" s="76"/>
      <c r="BV39" s="76"/>
      <c r="BW39" s="76"/>
      <c r="BX39" s="76"/>
      <c r="BY39" s="76"/>
      <c r="BZ39" s="76"/>
      <c r="CA39" s="76"/>
      <c r="CB39" s="76"/>
      <c r="CC39" s="76"/>
      <c r="CD39" s="76"/>
      <c r="CE39" s="76"/>
      <c r="CF39" s="76"/>
      <c r="CG39" s="76"/>
      <c r="CH39" s="76"/>
      <c r="CI39" s="76"/>
      <c r="CJ39" s="76"/>
      <c r="CK39" s="76"/>
      <c r="CL39" s="76"/>
      <c r="CM39" s="76"/>
      <c r="CN39" s="76"/>
      <c r="CO39" s="76"/>
      <c r="CP39" s="76"/>
      <c r="CQ39" s="76"/>
      <c r="CR39" s="76"/>
      <c r="CS39" s="76"/>
      <c r="CT39" s="76"/>
      <c r="CU39" s="76"/>
      <c r="CV39" s="76"/>
      <c r="CW39" s="76"/>
      <c r="CX39" s="98" t="s">
        <v>397</v>
      </c>
      <c r="CY39" s="98"/>
      <c r="CZ39" s="98"/>
      <c r="DA39" s="98"/>
      <c r="DB39" s="98" t="s">
        <v>688</v>
      </c>
      <c r="DC39" s="98"/>
      <c r="DD39" s="98"/>
      <c r="DE39" s="98"/>
      <c r="DF39" s="98" t="s">
        <v>710</v>
      </c>
      <c r="DG39" s="98"/>
      <c r="DH39" s="98"/>
      <c r="DI39" s="98"/>
      <c r="DJ39" s="98" t="s">
        <v>335</v>
      </c>
      <c r="DK39" s="98"/>
      <c r="DL39" s="98"/>
      <c r="DM39" s="98"/>
      <c r="DN39" s="98" t="s">
        <v>376</v>
      </c>
      <c r="DO39" s="98"/>
      <c r="DP39" s="98"/>
      <c r="DQ39" s="98"/>
      <c r="DR39" s="98" t="s">
        <v>377</v>
      </c>
      <c r="DS39" s="98"/>
      <c r="DT39" s="98"/>
      <c r="DU39" s="98"/>
      <c r="DV39" s="98" t="s">
        <v>738</v>
      </c>
      <c r="DW39" s="98"/>
      <c r="DX39" s="98"/>
      <c r="DY39" s="98"/>
      <c r="DZ39" s="98" t="s">
        <v>739</v>
      </c>
      <c r="EA39" s="98"/>
      <c r="EB39" s="98"/>
      <c r="EC39" s="98"/>
      <c r="ED39" s="98" t="s">
        <v>378</v>
      </c>
      <c r="EE39" s="98"/>
      <c r="EF39" s="98"/>
      <c r="EG39" s="98"/>
      <c r="EH39" s="98" t="s">
        <v>379</v>
      </c>
      <c r="EI39" s="98"/>
      <c r="EJ39" s="98"/>
      <c r="EK39" s="98"/>
      <c r="EL39" s="98" t="s">
        <v>744</v>
      </c>
      <c r="EM39" s="98"/>
      <c r="EN39" s="98"/>
      <c r="EO39" s="98"/>
      <c r="EP39" s="98" t="s">
        <v>726</v>
      </c>
      <c r="EQ39" s="98"/>
      <c r="ER39" s="98"/>
      <c r="ES39" s="98"/>
      <c r="ET39" s="98" t="s">
        <v>380</v>
      </c>
      <c r="EU39" s="98"/>
      <c r="EV39" s="98"/>
      <c r="EW39" s="98"/>
      <c r="EX39" s="98" t="s">
        <v>381</v>
      </c>
      <c r="EY39" s="98"/>
      <c r="EZ39" s="98"/>
      <c r="FA39" s="98"/>
      <c r="FB39" s="98" t="s">
        <v>382</v>
      </c>
      <c r="FC39" s="98"/>
      <c r="FD39" s="98"/>
      <c r="FE39" s="98"/>
      <c r="FF39" s="98" t="s">
        <v>383</v>
      </c>
      <c r="FG39" s="98"/>
      <c r="FH39" s="98"/>
      <c r="FI39" s="98"/>
      <c r="FJ39" s="98" t="s">
        <v>384</v>
      </c>
      <c r="FK39" s="98"/>
      <c r="FL39" s="98"/>
      <c r="FM39" s="98"/>
      <c r="FN39" s="138"/>
      <c r="FO39" s="138"/>
      <c r="FP39" s="138"/>
      <c r="FQ39" s="138"/>
    </row>
    <row r="40" spans="1:173" s="5" customFormat="1" x14ac:dyDescent="0.25">
      <c r="A40" s="51" t="s">
        <v>631</v>
      </c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>
        <v>10</v>
      </c>
      <c r="AM40" s="97"/>
      <c r="AN40" s="97"/>
      <c r="AO40" s="97"/>
      <c r="AP40" s="97">
        <v>10</v>
      </c>
      <c r="AQ40" s="97"/>
      <c r="AR40" s="97"/>
      <c r="AS40" s="97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  <c r="BM40" s="76"/>
      <c r="BN40" s="76"/>
      <c r="BO40" s="76"/>
      <c r="BP40" s="76"/>
      <c r="BQ40" s="76"/>
      <c r="BR40" s="76"/>
      <c r="BS40" s="76"/>
      <c r="BT40" s="76"/>
      <c r="BU40" s="76"/>
      <c r="BV40" s="76"/>
      <c r="BW40" s="76"/>
      <c r="BX40" s="76"/>
      <c r="BY40" s="76"/>
      <c r="BZ40" s="76"/>
      <c r="CA40" s="76"/>
      <c r="CB40" s="76"/>
      <c r="CC40" s="76"/>
      <c r="CD40" s="76"/>
      <c r="CE40" s="76"/>
      <c r="CF40" s="76"/>
      <c r="CG40" s="76"/>
      <c r="CH40" s="76"/>
      <c r="CI40" s="76"/>
      <c r="CJ40" s="76"/>
      <c r="CK40" s="76"/>
      <c r="CL40" s="76"/>
      <c r="CM40" s="76"/>
      <c r="CN40" s="76"/>
      <c r="CO40" s="76"/>
      <c r="CP40" s="76"/>
      <c r="CQ40" s="76"/>
      <c r="CR40" s="76"/>
      <c r="CS40" s="76"/>
      <c r="CT40" s="76"/>
      <c r="CU40" s="76"/>
      <c r="CV40" s="76"/>
      <c r="CW40" s="76"/>
      <c r="CX40" s="98">
        <v>1</v>
      </c>
      <c r="CY40" s="98"/>
      <c r="CZ40" s="98"/>
      <c r="DA40" s="98"/>
      <c r="DB40" s="98">
        <v>1</v>
      </c>
      <c r="DC40" s="98"/>
      <c r="DD40" s="98"/>
      <c r="DE40" s="98"/>
      <c r="DF40" s="98">
        <v>1</v>
      </c>
      <c r="DG40" s="98"/>
      <c r="DH40" s="98"/>
      <c r="DI40" s="98"/>
      <c r="DJ40" s="98">
        <v>1</v>
      </c>
      <c r="DK40" s="98"/>
      <c r="DL40" s="98"/>
      <c r="DM40" s="98"/>
      <c r="DN40" s="98">
        <v>1</v>
      </c>
      <c r="DO40" s="98"/>
      <c r="DP40" s="98"/>
      <c r="DQ40" s="98"/>
      <c r="DR40" s="98">
        <v>1</v>
      </c>
      <c r="DS40" s="98"/>
      <c r="DT40" s="98"/>
      <c r="DU40" s="98"/>
      <c r="DV40" s="98">
        <v>1</v>
      </c>
      <c r="DW40" s="98"/>
      <c r="DX40" s="98"/>
      <c r="DY40" s="98"/>
      <c r="DZ40" s="98">
        <v>1</v>
      </c>
      <c r="EA40" s="98"/>
      <c r="EB40" s="98"/>
      <c r="EC40" s="98"/>
      <c r="ED40" s="98">
        <v>1</v>
      </c>
      <c r="EE40" s="98"/>
      <c r="EF40" s="98"/>
      <c r="EG40" s="98"/>
      <c r="EH40" s="98">
        <v>1</v>
      </c>
      <c r="EI40" s="98"/>
      <c r="EJ40" s="98"/>
      <c r="EK40" s="98"/>
      <c r="EL40" s="98">
        <v>1</v>
      </c>
      <c r="EM40" s="98"/>
      <c r="EN40" s="98"/>
      <c r="EO40" s="98"/>
      <c r="EP40" s="98">
        <v>1</v>
      </c>
      <c r="EQ40" s="98"/>
      <c r="ER40" s="98"/>
      <c r="ES40" s="98"/>
      <c r="ET40" s="98">
        <v>1</v>
      </c>
      <c r="EU40" s="98"/>
      <c r="EV40" s="98"/>
      <c r="EW40" s="98"/>
      <c r="EX40" s="98">
        <v>1</v>
      </c>
      <c r="EY40" s="98"/>
      <c r="EZ40" s="98"/>
      <c r="FA40" s="98"/>
      <c r="FB40" s="98">
        <v>1</v>
      </c>
      <c r="FC40" s="98"/>
      <c r="FD40" s="98"/>
      <c r="FE40" s="98"/>
      <c r="FF40" s="98">
        <v>1</v>
      </c>
      <c r="FG40" s="98"/>
      <c r="FH40" s="98"/>
      <c r="FI40" s="98"/>
      <c r="FJ40" s="98">
        <v>1</v>
      </c>
      <c r="FK40" s="98"/>
      <c r="FL40" s="98"/>
      <c r="FM40" s="98"/>
      <c r="FN40" s="138"/>
      <c r="FO40" s="138"/>
      <c r="FP40" s="138"/>
      <c r="FQ40" s="138"/>
    </row>
    <row r="41" spans="1:173" s="5" customFormat="1" x14ac:dyDescent="0.25">
      <c r="A41" s="51" t="s">
        <v>3</v>
      </c>
      <c r="B41" s="97"/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>
        <v>0.45</v>
      </c>
      <c r="AM41" s="97"/>
      <c r="AN41" s="97"/>
      <c r="AO41" s="97"/>
      <c r="AP41" s="97">
        <v>-0.2</v>
      </c>
      <c r="AQ41" s="97"/>
      <c r="AR41" s="97"/>
      <c r="AS41" s="97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 s="76"/>
      <c r="BH41" s="76"/>
      <c r="BI41" s="76"/>
      <c r="BJ41" s="76"/>
      <c r="BK41" s="76"/>
      <c r="BL41" s="76"/>
      <c r="BM41" s="76"/>
      <c r="BN41" s="76"/>
      <c r="BO41" s="76"/>
      <c r="BP41" s="76"/>
      <c r="BQ41" s="76"/>
      <c r="BR41" s="76"/>
      <c r="BS41" s="76"/>
      <c r="BT41" s="76"/>
      <c r="BU41" s="76"/>
      <c r="BV41" s="76"/>
      <c r="BW41" s="76"/>
      <c r="BX41" s="76"/>
      <c r="BY41" s="76"/>
      <c r="BZ41" s="76"/>
      <c r="CA41" s="76"/>
      <c r="CB41" s="76"/>
      <c r="CC41" s="76"/>
      <c r="CD41" s="76"/>
      <c r="CE41" s="76"/>
      <c r="CF41" s="76"/>
      <c r="CG41" s="76"/>
      <c r="CH41" s="76"/>
      <c r="CI41" s="76"/>
      <c r="CJ41" s="76"/>
      <c r="CK41" s="76"/>
      <c r="CL41" s="76"/>
      <c r="CM41" s="76"/>
      <c r="CN41" s="76"/>
      <c r="CO41" s="76"/>
      <c r="CP41" s="76"/>
      <c r="CQ41" s="76"/>
      <c r="CR41" s="76"/>
      <c r="CS41" s="76"/>
      <c r="CT41" s="76"/>
      <c r="CU41" s="76"/>
      <c r="CV41" s="76"/>
      <c r="CW41" s="76"/>
      <c r="CX41" s="98">
        <v>0.3</v>
      </c>
      <c r="CY41" s="98"/>
      <c r="CZ41" s="98"/>
      <c r="DA41" s="98"/>
      <c r="DB41" s="98">
        <v>0.4</v>
      </c>
      <c r="DC41" s="98"/>
      <c r="DD41" s="98"/>
      <c r="DE41" s="98"/>
      <c r="DF41" s="98">
        <v>-0.1</v>
      </c>
      <c r="DG41" s="98"/>
      <c r="DH41" s="94" t="s">
        <v>702</v>
      </c>
      <c r="DI41" s="98"/>
      <c r="DJ41" s="98">
        <v>-0.1</v>
      </c>
      <c r="DK41" s="98"/>
      <c r="DL41" s="98"/>
      <c r="DM41" s="98"/>
      <c r="DN41" s="98">
        <v>0</v>
      </c>
      <c r="DO41" s="98"/>
      <c r="DP41" s="98"/>
      <c r="DQ41" s="98"/>
      <c r="DR41" s="98">
        <v>0.2</v>
      </c>
      <c r="DS41" s="98"/>
      <c r="DT41" s="98"/>
      <c r="DU41" s="98"/>
      <c r="DV41" s="98">
        <v>-0.15</v>
      </c>
      <c r="DW41" s="98"/>
      <c r="DX41" s="98"/>
      <c r="DY41" s="98"/>
      <c r="DZ41" s="98">
        <v>-0.05</v>
      </c>
      <c r="EA41" s="98"/>
      <c r="EB41" s="98"/>
      <c r="EC41" s="98"/>
      <c r="ED41" s="98">
        <v>-0.1</v>
      </c>
      <c r="EE41" s="98"/>
      <c r="EF41" s="98"/>
      <c r="EG41" s="98"/>
      <c r="EH41" s="98">
        <v>0.1</v>
      </c>
      <c r="EI41" s="98"/>
      <c r="EJ41" s="98"/>
      <c r="EK41" s="98"/>
      <c r="EL41" s="98">
        <v>0</v>
      </c>
      <c r="EM41" s="98"/>
      <c r="EN41" s="98"/>
      <c r="EO41" s="98"/>
      <c r="EP41" s="98">
        <v>-0.2</v>
      </c>
      <c r="EQ41" s="98"/>
      <c r="ER41" s="98"/>
      <c r="ES41" s="98"/>
      <c r="ET41" s="98">
        <v>0.45</v>
      </c>
      <c r="EU41" s="98"/>
      <c r="EV41" s="98"/>
      <c r="EW41" s="98"/>
      <c r="EX41" s="98">
        <v>0</v>
      </c>
      <c r="EY41" s="98"/>
      <c r="EZ41" s="98"/>
      <c r="FA41" s="98"/>
      <c r="FB41" s="98">
        <v>-0.2</v>
      </c>
      <c r="FC41" s="98"/>
      <c r="FD41" s="98"/>
      <c r="FE41" s="98"/>
      <c r="FF41" s="98">
        <v>0</v>
      </c>
      <c r="FG41" s="98"/>
      <c r="FH41" s="98"/>
      <c r="FI41" s="98"/>
      <c r="FJ41" s="98">
        <v>-0.1</v>
      </c>
      <c r="FK41" s="98"/>
      <c r="FL41" s="98"/>
      <c r="FM41" s="98"/>
      <c r="FN41" s="138"/>
      <c r="FO41" s="138"/>
      <c r="FP41" s="138"/>
      <c r="FQ41" s="138"/>
    </row>
    <row r="42" spans="1:173" s="5" customFormat="1" x14ac:dyDescent="0.25">
      <c r="A42" s="51" t="s">
        <v>319</v>
      </c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7"/>
      <c r="AG42" s="97"/>
      <c r="AH42" s="97"/>
      <c r="AI42" s="97"/>
      <c r="AJ42" s="97"/>
      <c r="AK42" s="97"/>
      <c r="AL42" s="97">
        <v>0</v>
      </c>
      <c r="AM42" s="97"/>
      <c r="AN42" s="97"/>
      <c r="AO42" s="97"/>
      <c r="AP42" s="97">
        <v>0</v>
      </c>
      <c r="AQ42" s="97"/>
      <c r="AR42" s="97"/>
      <c r="AS42" s="97"/>
      <c r="AT42" s="76"/>
      <c r="AU42" s="76"/>
      <c r="AV42" s="76"/>
      <c r="AW42" s="76"/>
      <c r="AX42" s="76"/>
      <c r="AY42" s="76"/>
      <c r="AZ42" s="76"/>
      <c r="BA42" s="76"/>
      <c r="BB42" s="76"/>
      <c r="BC42" s="76"/>
      <c r="BD42" s="76"/>
      <c r="BE42" s="76"/>
      <c r="BF42" s="76"/>
      <c r="BG42" s="76"/>
      <c r="BH42" s="76"/>
      <c r="BI42" s="76"/>
      <c r="BJ42" s="76"/>
      <c r="BK42" s="76"/>
      <c r="BL42" s="76"/>
      <c r="BM42" s="76"/>
      <c r="BN42" s="76"/>
      <c r="BO42" s="76"/>
      <c r="BP42" s="76"/>
      <c r="BQ42" s="76"/>
      <c r="BR42" s="76"/>
      <c r="BS42" s="76"/>
      <c r="BT42" s="76"/>
      <c r="BU42" s="76"/>
      <c r="BV42" s="76"/>
      <c r="BW42" s="76"/>
      <c r="BX42" s="76"/>
      <c r="BY42" s="76"/>
      <c r="BZ42" s="76"/>
      <c r="CA42" s="76"/>
      <c r="CB42" s="76"/>
      <c r="CC42" s="76"/>
      <c r="CD42" s="76"/>
      <c r="CE42" s="76"/>
      <c r="CF42" s="76"/>
      <c r="CG42" s="76"/>
      <c r="CH42" s="76"/>
      <c r="CI42" s="76"/>
      <c r="CJ42" s="76"/>
      <c r="CK42" s="76"/>
      <c r="CL42" s="76"/>
      <c r="CM42" s="76"/>
      <c r="CN42" s="76"/>
      <c r="CO42" s="76"/>
      <c r="CP42" s="76"/>
      <c r="CQ42" s="76"/>
      <c r="CR42" s="76"/>
      <c r="CS42" s="76"/>
      <c r="CT42" s="76"/>
      <c r="CU42" s="76"/>
      <c r="CV42" s="76"/>
      <c r="CW42" s="76"/>
      <c r="CX42" s="98">
        <v>0</v>
      </c>
      <c r="CY42" s="98"/>
      <c r="CZ42" s="98"/>
      <c r="DA42" s="98"/>
      <c r="DB42" s="98">
        <v>0</v>
      </c>
      <c r="DC42" s="98"/>
      <c r="DD42" s="98"/>
      <c r="DE42" s="98"/>
      <c r="DF42" s="98">
        <v>0</v>
      </c>
      <c r="DG42" s="98"/>
      <c r="DH42" s="98"/>
      <c r="DI42" s="98"/>
      <c r="DJ42" s="98">
        <v>0</v>
      </c>
      <c r="DK42" s="98"/>
      <c r="DL42" s="98"/>
      <c r="DM42" s="98"/>
      <c r="DN42" s="98">
        <v>0</v>
      </c>
      <c r="DO42" s="98"/>
      <c r="DP42" s="98"/>
      <c r="DQ42" s="98"/>
      <c r="DR42" s="98">
        <v>0</v>
      </c>
      <c r="DS42" s="98"/>
      <c r="DT42" s="98"/>
      <c r="DU42" s="98"/>
      <c r="DV42" s="98">
        <v>0</v>
      </c>
      <c r="DW42" s="98"/>
      <c r="DX42" s="98"/>
      <c r="DY42" s="98"/>
      <c r="DZ42" s="98">
        <v>0</v>
      </c>
      <c r="EA42" s="98"/>
      <c r="EB42" s="98"/>
      <c r="EC42" s="98"/>
      <c r="ED42" s="98">
        <v>0</v>
      </c>
      <c r="EE42" s="98"/>
      <c r="EF42" s="98"/>
      <c r="EG42" s="98"/>
      <c r="EH42" s="98">
        <v>0</v>
      </c>
      <c r="EI42" s="98"/>
      <c r="EJ42" s="98"/>
      <c r="EK42" s="98"/>
      <c r="EL42" s="98">
        <v>0</v>
      </c>
      <c r="EM42" s="98"/>
      <c r="EN42" s="98"/>
      <c r="EO42" s="98"/>
      <c r="EP42" s="98">
        <v>0</v>
      </c>
      <c r="EQ42" s="98"/>
      <c r="ER42" s="98"/>
      <c r="ES42" s="98"/>
      <c r="ET42" s="98">
        <v>0</v>
      </c>
      <c r="EU42" s="98"/>
      <c r="EV42" s="98"/>
      <c r="EW42" s="98"/>
      <c r="EX42" s="98">
        <v>0</v>
      </c>
      <c r="EY42" s="98"/>
      <c r="EZ42" s="98"/>
      <c r="FA42" s="98"/>
      <c r="FB42" s="98">
        <v>-0.2</v>
      </c>
      <c r="FC42" s="98"/>
      <c r="FD42" s="98"/>
      <c r="FE42" s="98"/>
      <c r="FF42" s="98">
        <v>1</v>
      </c>
      <c r="FG42" s="98"/>
      <c r="FH42" s="98"/>
      <c r="FI42" s="98"/>
      <c r="FJ42" s="98">
        <v>1</v>
      </c>
      <c r="FK42" s="98"/>
      <c r="FL42" s="98"/>
      <c r="FM42" s="98"/>
      <c r="FN42" s="138"/>
      <c r="FO42" s="138"/>
      <c r="FP42" s="138"/>
      <c r="FQ42" s="138"/>
    </row>
    <row r="43" spans="1:173" s="5" customFormat="1" x14ac:dyDescent="0.25">
      <c r="A43" s="51" t="s">
        <v>630</v>
      </c>
      <c r="B43" s="97"/>
      <c r="C43" s="97"/>
      <c r="D43" s="97"/>
      <c r="E43" s="97"/>
      <c r="F43" s="97">
        <v>-0.5</v>
      </c>
      <c r="G43" s="97"/>
      <c r="H43" s="97" t="s">
        <v>633</v>
      </c>
      <c r="I43" s="97" t="s">
        <v>634</v>
      </c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>
        <v>0</v>
      </c>
      <c r="AM43" s="97"/>
      <c r="AN43" s="97"/>
      <c r="AO43" s="97"/>
      <c r="AP43" s="97">
        <v>0</v>
      </c>
      <c r="AQ43" s="97"/>
      <c r="AR43" s="97"/>
      <c r="AS43" s="97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/>
      <c r="BU43" s="76"/>
      <c r="BV43" s="76"/>
      <c r="BW43" s="76"/>
      <c r="BX43" s="76"/>
      <c r="BY43" s="76"/>
      <c r="BZ43" s="76"/>
      <c r="CA43" s="76"/>
      <c r="CB43" s="76"/>
      <c r="CC43" s="76"/>
      <c r="CD43" s="76"/>
      <c r="CE43" s="76"/>
      <c r="CF43" s="76"/>
      <c r="CG43" s="76"/>
      <c r="CH43" s="76"/>
      <c r="CI43" s="76"/>
      <c r="CJ43" s="76"/>
      <c r="CK43" s="76"/>
      <c r="CL43" s="76"/>
      <c r="CM43" s="76"/>
      <c r="CN43" s="76"/>
      <c r="CO43" s="76"/>
      <c r="CP43" s="76"/>
      <c r="CQ43" s="76"/>
      <c r="CR43" s="76"/>
      <c r="CS43" s="76"/>
      <c r="CT43" s="76"/>
      <c r="CU43" s="76"/>
      <c r="CV43" s="76"/>
      <c r="CW43" s="76"/>
      <c r="CX43" s="98">
        <v>-0.5</v>
      </c>
      <c r="CY43" s="98"/>
      <c r="CZ43" s="98" t="s">
        <v>645</v>
      </c>
      <c r="DA43" s="98" t="s">
        <v>646</v>
      </c>
      <c r="DB43" s="98">
        <v>0</v>
      </c>
      <c r="DC43" s="98"/>
      <c r="DD43" s="98"/>
      <c r="DE43" s="98"/>
      <c r="DF43" s="98">
        <v>-0.1</v>
      </c>
      <c r="DG43" s="98"/>
      <c r="DH43" s="98"/>
      <c r="DI43" s="98"/>
      <c r="DJ43" s="98">
        <v>-0.5</v>
      </c>
      <c r="DK43" s="98"/>
      <c r="DL43" s="98" t="s">
        <v>644</v>
      </c>
      <c r="DM43" s="98"/>
      <c r="DN43" s="98">
        <v>0</v>
      </c>
      <c r="DO43" s="98"/>
      <c r="DP43" s="98"/>
      <c r="DQ43" s="98"/>
      <c r="DR43" s="98">
        <v>-0.5</v>
      </c>
      <c r="DS43" s="98"/>
      <c r="DT43" s="98" t="s">
        <v>643</v>
      </c>
      <c r="DU43" s="98"/>
      <c r="DV43" s="98">
        <v>0</v>
      </c>
      <c r="DW43" s="98" t="s">
        <v>636</v>
      </c>
      <c r="DX43" s="98" t="s">
        <v>637</v>
      </c>
      <c r="DY43" s="98"/>
      <c r="DZ43" s="98">
        <v>-0.5</v>
      </c>
      <c r="EA43" s="98" t="s">
        <v>636</v>
      </c>
      <c r="EB43" s="98" t="s">
        <v>637</v>
      </c>
      <c r="EC43" s="98"/>
      <c r="ED43" s="98">
        <v>0</v>
      </c>
      <c r="EE43" s="98" t="s">
        <v>635</v>
      </c>
      <c r="EF43" s="98"/>
      <c r="EG43" s="98"/>
      <c r="EH43" s="98">
        <v>0</v>
      </c>
      <c r="EI43" s="98"/>
      <c r="EJ43" s="98" t="s">
        <v>638</v>
      </c>
      <c r="EK43" s="98" t="s">
        <v>639</v>
      </c>
      <c r="EL43" s="98">
        <v>-0.5</v>
      </c>
      <c r="EM43" s="98"/>
      <c r="EN43" s="98"/>
      <c r="EO43" s="98"/>
      <c r="EP43" s="98">
        <v>0</v>
      </c>
      <c r="EQ43" s="98"/>
      <c r="ER43" s="98"/>
      <c r="ES43" s="98"/>
      <c r="ET43" s="98">
        <v>0</v>
      </c>
      <c r="EU43" s="98"/>
      <c r="EV43" s="98"/>
      <c r="EW43" s="98"/>
      <c r="EX43" s="98">
        <v>0</v>
      </c>
      <c r="EY43" s="98"/>
      <c r="EZ43" s="98"/>
      <c r="FA43" s="98"/>
      <c r="FB43" s="98">
        <v>0.5</v>
      </c>
      <c r="FC43" s="98"/>
      <c r="FD43" s="98" t="s">
        <v>642</v>
      </c>
      <c r="FE43" s="98"/>
      <c r="FF43" s="98">
        <v>0</v>
      </c>
      <c r="FG43" s="98"/>
      <c r="FH43" s="98" t="s">
        <v>640</v>
      </c>
      <c r="FI43" s="98"/>
      <c r="FJ43" s="98">
        <v>0</v>
      </c>
      <c r="FK43" s="98"/>
      <c r="FL43" s="98" t="s">
        <v>640</v>
      </c>
      <c r="FM43" s="98"/>
      <c r="FN43" s="138"/>
      <c r="FO43" s="138"/>
      <c r="FP43" s="138"/>
      <c r="FQ43" s="138"/>
    </row>
    <row r="44" spans="1:173" s="5" customFormat="1" x14ac:dyDescent="0.25">
      <c r="A44" s="51" t="s">
        <v>629</v>
      </c>
      <c r="B44" s="97"/>
      <c r="C44" s="97"/>
      <c r="D44" s="97"/>
      <c r="E44" s="97"/>
      <c r="F44" s="97">
        <v>-0.25</v>
      </c>
      <c r="G44" s="97"/>
      <c r="H44" s="97" t="s">
        <v>633</v>
      </c>
      <c r="I44" s="97" t="s">
        <v>634</v>
      </c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7"/>
      <c r="AG44" s="97"/>
      <c r="AH44" s="97"/>
      <c r="AI44" s="97"/>
      <c r="AJ44" s="97"/>
      <c r="AK44" s="97"/>
      <c r="AL44" s="97">
        <v>0.34</v>
      </c>
      <c r="AM44" s="97"/>
      <c r="AN44" s="97" t="s">
        <v>641</v>
      </c>
      <c r="AO44" s="97"/>
      <c r="AP44" s="97">
        <v>0</v>
      </c>
      <c r="AQ44" s="97"/>
      <c r="AR44" s="97" t="s">
        <v>641</v>
      </c>
      <c r="AS44" s="97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76"/>
      <c r="BV44" s="76"/>
      <c r="BW44" s="76"/>
      <c r="BX44" s="76"/>
      <c r="BY44" s="76"/>
      <c r="BZ44" s="76"/>
      <c r="CA44" s="76"/>
      <c r="CB44" s="76"/>
      <c r="CC44" s="76"/>
      <c r="CD44" s="76"/>
      <c r="CE44" s="76"/>
      <c r="CF44" s="76"/>
      <c r="CG44" s="76"/>
      <c r="CH44" s="76"/>
      <c r="CI44" s="76"/>
      <c r="CJ44" s="76"/>
      <c r="CK44" s="76"/>
      <c r="CL44" s="76"/>
      <c r="CM44" s="76"/>
      <c r="CN44" s="76"/>
      <c r="CO44" s="76"/>
      <c r="CP44" s="76"/>
      <c r="CQ44" s="76"/>
      <c r="CR44" s="76"/>
      <c r="CS44" s="76"/>
      <c r="CT44" s="76"/>
      <c r="CU44" s="76"/>
      <c r="CV44" s="76"/>
      <c r="CW44" s="76"/>
      <c r="CX44" s="98">
        <v>0.5</v>
      </c>
      <c r="CY44" s="98"/>
      <c r="CZ44" s="98" t="s">
        <v>645</v>
      </c>
      <c r="DA44" s="98" t="s">
        <v>646</v>
      </c>
      <c r="DB44" s="98">
        <v>0</v>
      </c>
      <c r="DC44" s="98"/>
      <c r="DD44" s="98"/>
      <c r="DE44" s="98"/>
      <c r="DF44" s="98">
        <v>-0.1</v>
      </c>
      <c r="DG44" s="98"/>
      <c r="DH44" s="98" t="s">
        <v>708</v>
      </c>
      <c r="DI44" s="98"/>
      <c r="DJ44" s="98">
        <v>-0.33</v>
      </c>
      <c r="DK44" s="98"/>
      <c r="DL44" s="98" t="s">
        <v>644</v>
      </c>
      <c r="DM44" s="98"/>
      <c r="DN44" s="98">
        <v>0</v>
      </c>
      <c r="DO44" s="98"/>
      <c r="DP44" s="98"/>
      <c r="DQ44" s="98"/>
      <c r="DR44" s="98">
        <v>0</v>
      </c>
      <c r="DS44" s="98"/>
      <c r="DT44" s="98" t="s">
        <v>643</v>
      </c>
      <c r="DU44" s="98"/>
      <c r="DV44" s="98">
        <v>0</v>
      </c>
      <c r="DW44" s="98"/>
      <c r="DX44" s="98"/>
      <c r="DY44" s="98"/>
      <c r="DZ44" s="98">
        <v>0</v>
      </c>
      <c r="EA44" s="98"/>
      <c r="EB44" s="98"/>
      <c r="EC44" s="98"/>
      <c r="ED44" s="98">
        <v>-0.25</v>
      </c>
      <c r="EE44" s="98" t="s">
        <v>635</v>
      </c>
      <c r="EF44" s="98"/>
      <c r="EG44" s="98"/>
      <c r="EH44" s="98">
        <v>0</v>
      </c>
      <c r="EI44" s="98"/>
      <c r="EJ44" s="98" t="s">
        <v>638</v>
      </c>
      <c r="EK44" s="98" t="s">
        <v>639</v>
      </c>
      <c r="EL44" s="98">
        <v>0</v>
      </c>
      <c r="EM44" s="98"/>
      <c r="EN44" s="98"/>
      <c r="EO44" s="98"/>
      <c r="EP44" s="98">
        <v>0</v>
      </c>
      <c r="EQ44" s="98"/>
      <c r="ER44" s="98"/>
      <c r="ES44" s="98"/>
      <c r="ET44" s="98">
        <v>0</v>
      </c>
      <c r="EU44" s="98"/>
      <c r="EV44" s="98"/>
      <c r="EW44" s="98"/>
      <c r="EX44" s="98">
        <v>0</v>
      </c>
      <c r="EY44" s="98"/>
      <c r="EZ44" s="98"/>
      <c r="FA44" s="98"/>
      <c r="FB44" s="98">
        <v>0</v>
      </c>
      <c r="FC44" s="98"/>
      <c r="FD44" s="98"/>
      <c r="FE44" s="98"/>
      <c r="FF44" s="98">
        <v>0</v>
      </c>
      <c r="FG44" s="98"/>
      <c r="FH44" s="98"/>
      <c r="FI44" s="98"/>
      <c r="FJ44" s="98">
        <v>0</v>
      </c>
      <c r="FK44" s="98"/>
      <c r="FL44" s="98"/>
      <c r="FM44" s="98"/>
      <c r="FN44" s="138"/>
      <c r="FO44" s="138"/>
      <c r="FP44" s="138"/>
      <c r="FQ44" s="138"/>
    </row>
    <row r="45" spans="1:173" s="5" customFormat="1" x14ac:dyDescent="0.25">
      <c r="A45" s="51" t="s">
        <v>4</v>
      </c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>
        <v>0</v>
      </c>
      <c r="AM45" s="97"/>
      <c r="AN45" s="97"/>
      <c r="AO45" s="97"/>
      <c r="AP45" s="97">
        <v>0</v>
      </c>
      <c r="AQ45" s="97"/>
      <c r="AR45" s="97"/>
      <c r="AS45" s="97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76"/>
      <c r="BV45" s="76"/>
      <c r="BW45" s="76"/>
      <c r="BX45" s="76"/>
      <c r="BY45" s="76"/>
      <c r="BZ45" s="76"/>
      <c r="CA45" s="76"/>
      <c r="CB45" s="76"/>
      <c r="CC45" s="76"/>
      <c r="CD45" s="76"/>
      <c r="CE45" s="76"/>
      <c r="CF45" s="76"/>
      <c r="CG45" s="76"/>
      <c r="CH45" s="76"/>
      <c r="CI45" s="76"/>
      <c r="CJ45" s="76"/>
      <c r="CK45" s="76"/>
      <c r="CL45" s="76"/>
      <c r="CM45" s="76"/>
      <c r="CN45" s="76"/>
      <c r="CO45" s="76"/>
      <c r="CP45" s="76"/>
      <c r="CQ45" s="76"/>
      <c r="CR45" s="76"/>
      <c r="CS45" s="76"/>
      <c r="CT45" s="76"/>
      <c r="CU45" s="76"/>
      <c r="CV45" s="76"/>
      <c r="CW45" s="76"/>
      <c r="CX45" s="98">
        <v>0.2</v>
      </c>
      <c r="CY45" s="98"/>
      <c r="CZ45" s="98"/>
      <c r="DA45" s="98"/>
      <c r="DB45" s="98">
        <v>-0.25</v>
      </c>
      <c r="DC45" s="98"/>
      <c r="DD45" s="98"/>
      <c r="DE45" s="98"/>
      <c r="DF45" s="98">
        <v>-0.1</v>
      </c>
      <c r="DG45" s="98"/>
      <c r="DH45" s="94" t="s">
        <v>702</v>
      </c>
      <c r="DI45" s="98"/>
      <c r="DJ45" s="98">
        <v>-0.25</v>
      </c>
      <c r="DK45" s="98"/>
      <c r="DL45" s="98"/>
      <c r="DM45" s="98"/>
      <c r="DN45" s="98">
        <v>0</v>
      </c>
      <c r="DO45" s="98"/>
      <c r="DP45" s="98"/>
      <c r="DQ45" s="98"/>
      <c r="DR45" s="98">
        <v>-0.4</v>
      </c>
      <c r="DS45" s="98"/>
      <c r="DT45" s="98"/>
      <c r="DU45" s="98"/>
      <c r="DV45" s="98">
        <v>-0.35</v>
      </c>
      <c r="DW45" s="98"/>
      <c r="DX45" s="98"/>
      <c r="DY45" s="98"/>
      <c r="DZ45" s="98">
        <v>-0.25</v>
      </c>
      <c r="EA45" s="98"/>
      <c r="EB45" s="98"/>
      <c r="EC45" s="98"/>
      <c r="ED45" s="98">
        <v>-0.35</v>
      </c>
      <c r="EE45" s="98"/>
      <c r="EF45" s="98"/>
      <c r="EG45" s="98"/>
      <c r="EH45" s="98">
        <v>1</v>
      </c>
      <c r="EI45" s="98"/>
      <c r="EJ45" s="98"/>
      <c r="EK45" s="98"/>
      <c r="EL45" s="98">
        <v>-0.75</v>
      </c>
      <c r="EM45" s="98"/>
      <c r="EN45" s="98"/>
      <c r="EO45" s="98"/>
      <c r="EP45" s="98">
        <v>0</v>
      </c>
      <c r="EQ45" s="98"/>
      <c r="ER45" s="98"/>
      <c r="ES45" s="98"/>
      <c r="ET45" s="98">
        <v>0.3</v>
      </c>
      <c r="EU45" s="98"/>
      <c r="EV45" s="98"/>
      <c r="EW45" s="98"/>
      <c r="EX45" s="98">
        <v>0</v>
      </c>
      <c r="EY45" s="98"/>
      <c r="EZ45" s="98"/>
      <c r="FA45" s="98"/>
      <c r="FB45" s="98">
        <v>0.15</v>
      </c>
      <c r="FC45" s="98"/>
      <c r="FD45" s="98"/>
      <c r="FE45" s="98"/>
      <c r="FF45" s="98">
        <v>0</v>
      </c>
      <c r="FG45" s="98"/>
      <c r="FH45" s="98"/>
      <c r="FI45" s="98"/>
      <c r="FJ45" s="98">
        <v>0</v>
      </c>
      <c r="FK45" s="98"/>
      <c r="FL45" s="98"/>
      <c r="FM45" s="98"/>
      <c r="FN45" s="138"/>
      <c r="FO45" s="138"/>
      <c r="FP45" s="138"/>
      <c r="FQ45" s="138"/>
    </row>
    <row r="46" spans="1:173" s="5" customFormat="1" x14ac:dyDescent="0.25">
      <c r="A46" s="51" t="s">
        <v>320</v>
      </c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7"/>
      <c r="AG46" s="97"/>
      <c r="AH46" s="97"/>
      <c r="AI46" s="97"/>
      <c r="AJ46" s="97"/>
      <c r="AK46" s="97"/>
      <c r="AL46" s="97">
        <v>0</v>
      </c>
      <c r="AM46" s="97"/>
      <c r="AN46" s="97"/>
      <c r="AO46" s="97"/>
      <c r="AP46" s="97">
        <v>0</v>
      </c>
      <c r="AQ46" s="97"/>
      <c r="AR46" s="97"/>
      <c r="AS46" s="97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/>
      <c r="BG46" s="76"/>
      <c r="BH46" s="76"/>
      <c r="BI46" s="76"/>
      <c r="BJ46" s="76"/>
      <c r="BK46" s="76"/>
      <c r="BL46" s="76"/>
      <c r="BM46" s="76"/>
      <c r="BN46" s="76"/>
      <c r="BO46" s="76"/>
      <c r="BP46" s="76"/>
      <c r="BQ46" s="76"/>
      <c r="BR46" s="76"/>
      <c r="BS46" s="76"/>
      <c r="BT46" s="76"/>
      <c r="BU46" s="76"/>
      <c r="BV46" s="76"/>
      <c r="BW46" s="76"/>
      <c r="BX46" s="76"/>
      <c r="BY46" s="76"/>
      <c r="BZ46" s="76"/>
      <c r="CA46" s="76"/>
      <c r="CB46" s="76"/>
      <c r="CC46" s="76"/>
      <c r="CD46" s="76"/>
      <c r="CE46" s="76"/>
      <c r="CF46" s="76"/>
      <c r="CG46" s="76"/>
      <c r="CH46" s="76"/>
      <c r="CI46" s="76"/>
      <c r="CJ46" s="76"/>
      <c r="CK46" s="76"/>
      <c r="CL46" s="76"/>
      <c r="CM46" s="76"/>
      <c r="CN46" s="76"/>
      <c r="CO46" s="76"/>
      <c r="CP46" s="76"/>
      <c r="CQ46" s="76"/>
      <c r="CR46" s="76"/>
      <c r="CS46" s="76"/>
      <c r="CT46" s="76"/>
      <c r="CU46" s="76"/>
      <c r="CV46" s="76"/>
      <c r="CW46" s="76"/>
      <c r="CX46" s="98">
        <v>0</v>
      </c>
      <c r="CY46" s="98"/>
      <c r="CZ46" s="98"/>
      <c r="DA46" s="98"/>
      <c r="DB46" s="98">
        <v>1</v>
      </c>
      <c r="DC46" s="98"/>
      <c r="DD46" s="98"/>
      <c r="DE46" s="98"/>
      <c r="DF46" s="98">
        <v>1</v>
      </c>
      <c r="DG46" s="98"/>
      <c r="DH46" s="98"/>
      <c r="DI46" s="98"/>
      <c r="DJ46" s="98">
        <v>0</v>
      </c>
      <c r="DK46" s="98"/>
      <c r="DL46" s="98"/>
      <c r="DM46" s="98"/>
      <c r="DN46" s="98">
        <v>0</v>
      </c>
      <c r="DO46" s="98"/>
      <c r="DP46" s="98"/>
      <c r="DQ46" s="98"/>
      <c r="DR46" s="98">
        <v>1</v>
      </c>
      <c r="DS46" s="98"/>
      <c r="DT46" s="98"/>
      <c r="DU46" s="98"/>
      <c r="DV46" s="98">
        <v>0.5</v>
      </c>
      <c r="DW46" s="98"/>
      <c r="DX46" s="98"/>
      <c r="DY46" s="98"/>
      <c r="DZ46" s="98">
        <v>1</v>
      </c>
      <c r="EA46" s="98"/>
      <c r="EB46" s="98"/>
      <c r="EC46" s="98"/>
      <c r="ED46" s="98">
        <v>0.25</v>
      </c>
      <c r="EE46" s="98"/>
      <c r="EF46" s="98"/>
      <c r="EG46" s="98"/>
      <c r="EH46" s="98">
        <v>-1</v>
      </c>
      <c r="EI46" s="98"/>
      <c r="EJ46" s="98"/>
      <c r="EK46" s="98"/>
      <c r="EL46" s="98">
        <v>1</v>
      </c>
      <c r="EM46" s="98"/>
      <c r="EN46" s="98"/>
      <c r="EO46" s="98"/>
      <c r="EP46" s="98">
        <v>0</v>
      </c>
      <c r="EQ46" s="98"/>
      <c r="ER46" s="98"/>
      <c r="ES46" s="98"/>
      <c r="ET46" s="98">
        <v>0</v>
      </c>
      <c r="EU46" s="98"/>
      <c r="EV46" s="98"/>
      <c r="EW46" s="98"/>
      <c r="EX46" s="98">
        <v>0</v>
      </c>
      <c r="EY46" s="98"/>
      <c r="EZ46" s="98"/>
      <c r="FA46" s="98"/>
      <c r="FB46" s="98">
        <v>1</v>
      </c>
      <c r="FC46" s="98"/>
      <c r="FD46" s="98"/>
      <c r="FE46" s="98"/>
      <c r="FF46" s="98">
        <v>0</v>
      </c>
      <c r="FG46" s="98"/>
      <c r="FH46" s="98"/>
      <c r="FI46" s="98"/>
      <c r="FJ46" s="98">
        <v>0</v>
      </c>
      <c r="FK46" s="98"/>
      <c r="FL46" s="98"/>
      <c r="FM46" s="98"/>
      <c r="FN46" s="138"/>
      <c r="FO46" s="138"/>
      <c r="FP46" s="138"/>
      <c r="FQ46" s="138"/>
    </row>
    <row r="47" spans="1:173" s="5" customFormat="1" x14ac:dyDescent="0.25">
      <c r="A47" s="51" t="s">
        <v>321</v>
      </c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7"/>
      <c r="AG47" s="97"/>
      <c r="AH47" s="97"/>
      <c r="AI47" s="97"/>
      <c r="AJ47" s="97"/>
      <c r="AK47" s="97"/>
      <c r="AL47" s="97">
        <v>0.5</v>
      </c>
      <c r="AM47" s="97"/>
      <c r="AN47" s="97"/>
      <c r="AO47" s="97"/>
      <c r="AP47" s="97">
        <v>0.35</v>
      </c>
      <c r="AQ47" s="97"/>
      <c r="AR47" s="97"/>
      <c r="AS47" s="97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6"/>
      <c r="BS47" s="76"/>
      <c r="BT47" s="76"/>
      <c r="BU47" s="76"/>
      <c r="BV47" s="76"/>
      <c r="BW47" s="76"/>
      <c r="BX47" s="76"/>
      <c r="BY47" s="76"/>
      <c r="BZ47" s="76"/>
      <c r="CA47" s="76"/>
      <c r="CB47" s="76"/>
      <c r="CC47" s="76"/>
      <c r="CD47" s="76"/>
      <c r="CE47" s="76"/>
      <c r="CF47" s="76"/>
      <c r="CG47" s="76"/>
      <c r="CH47" s="76"/>
      <c r="CI47" s="76"/>
      <c r="CJ47" s="76"/>
      <c r="CK47" s="76"/>
      <c r="CL47" s="75"/>
      <c r="CM47" s="77"/>
      <c r="CN47" s="77"/>
      <c r="CO47" s="75"/>
      <c r="CP47" s="76"/>
      <c r="CQ47" s="76"/>
      <c r="CR47" s="76"/>
      <c r="CS47" s="76"/>
      <c r="CT47" s="76"/>
      <c r="CU47" s="76"/>
      <c r="CV47" s="76"/>
      <c r="CW47" s="76"/>
      <c r="CX47" s="98">
        <v>0</v>
      </c>
      <c r="CY47" s="98"/>
      <c r="CZ47" s="98"/>
      <c r="DA47" s="98"/>
      <c r="DB47" s="98">
        <v>-0.4</v>
      </c>
      <c r="DC47" s="98"/>
      <c r="DD47" s="98"/>
      <c r="DE47" s="98"/>
      <c r="DF47" s="98">
        <v>0</v>
      </c>
      <c r="DG47" s="98"/>
      <c r="DH47" s="94" t="s">
        <v>702</v>
      </c>
      <c r="DI47" s="98"/>
      <c r="DJ47" s="98">
        <v>-0.1</v>
      </c>
      <c r="DK47" s="98"/>
      <c r="DL47" s="98"/>
      <c r="DM47" s="98"/>
      <c r="DN47" s="98">
        <v>0</v>
      </c>
      <c r="DO47" s="98"/>
      <c r="DP47" s="98"/>
      <c r="DQ47" s="98"/>
      <c r="DR47" s="98">
        <v>0.4</v>
      </c>
      <c r="DS47" s="98"/>
      <c r="DT47" s="98"/>
      <c r="DU47" s="98"/>
      <c r="DV47" s="98">
        <v>-0.25</v>
      </c>
      <c r="DW47" s="98"/>
      <c r="DX47" s="98"/>
      <c r="DY47" s="98"/>
      <c r="DZ47" s="98">
        <v>-0.25</v>
      </c>
      <c r="EA47" s="98"/>
      <c r="EB47" s="98"/>
      <c r="EC47" s="98"/>
      <c r="ED47" s="98">
        <v>-7.0000000000000007E-2</v>
      </c>
      <c r="EE47" s="98"/>
      <c r="EF47" s="98"/>
      <c r="EG47" s="98"/>
      <c r="EH47" s="98">
        <v>0.1</v>
      </c>
      <c r="EI47" s="98"/>
      <c r="EJ47" s="98"/>
      <c r="EK47" s="98"/>
      <c r="EL47" s="98">
        <v>0</v>
      </c>
      <c r="EM47" s="98"/>
      <c r="EN47" s="98"/>
      <c r="EO47" s="98"/>
      <c r="EP47" s="98">
        <v>0.4</v>
      </c>
      <c r="EQ47" s="98"/>
      <c r="ER47" s="98"/>
      <c r="ES47" s="98"/>
      <c r="ET47" s="98">
        <v>0.15</v>
      </c>
      <c r="EU47" s="98"/>
      <c r="EV47" s="98"/>
      <c r="EW47" s="98"/>
      <c r="EX47" s="98">
        <v>0</v>
      </c>
      <c r="EY47" s="98"/>
      <c r="EZ47" s="98"/>
      <c r="FA47" s="98"/>
      <c r="FB47" s="98">
        <v>-0.35</v>
      </c>
      <c r="FC47" s="98"/>
      <c r="FD47" s="98"/>
      <c r="FE47" s="98"/>
      <c r="FF47" s="98">
        <v>0</v>
      </c>
      <c r="FG47" s="98"/>
      <c r="FH47" s="98"/>
      <c r="FI47" s="98"/>
      <c r="FJ47" s="98">
        <v>-0.1</v>
      </c>
      <c r="FK47" s="98"/>
      <c r="FL47" s="98"/>
      <c r="FM47" s="98"/>
      <c r="FN47" s="138"/>
      <c r="FO47" s="138"/>
      <c r="FP47" s="138"/>
      <c r="FQ47" s="138"/>
    </row>
    <row r="48" spans="1:173" s="5" customFormat="1" x14ac:dyDescent="0.25">
      <c r="A48" s="51" t="s">
        <v>322</v>
      </c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7"/>
      <c r="AG48" s="97"/>
      <c r="AH48" s="97"/>
      <c r="AI48" s="97"/>
      <c r="AJ48" s="97"/>
      <c r="AK48" s="97"/>
      <c r="AL48" s="97">
        <v>0</v>
      </c>
      <c r="AM48" s="97"/>
      <c r="AN48" s="97"/>
      <c r="AO48" s="97"/>
      <c r="AP48" s="97">
        <v>0</v>
      </c>
      <c r="AQ48" s="97"/>
      <c r="AR48" s="97"/>
      <c r="AS48" s="97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6"/>
      <c r="BN48" s="76"/>
      <c r="BO48" s="76"/>
      <c r="BP48" s="76"/>
      <c r="BQ48" s="76"/>
      <c r="BR48" s="76"/>
      <c r="BS48" s="76"/>
      <c r="BT48" s="76"/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6"/>
      <c r="CK48" s="76"/>
      <c r="CL48" s="77"/>
      <c r="CM48" s="77"/>
      <c r="CN48" s="77"/>
      <c r="CO48" s="77"/>
      <c r="CP48" s="76"/>
      <c r="CQ48" s="76"/>
      <c r="CR48" s="76"/>
      <c r="CS48" s="76"/>
      <c r="CT48" s="76"/>
      <c r="CU48" s="76"/>
      <c r="CV48" s="76"/>
      <c r="CW48" s="76"/>
      <c r="CX48" s="98">
        <v>0</v>
      </c>
      <c r="CY48" s="98"/>
      <c r="CZ48" s="98"/>
      <c r="DA48" s="98"/>
      <c r="DB48" s="98">
        <v>0</v>
      </c>
      <c r="DC48" s="98"/>
      <c r="DD48" s="98"/>
      <c r="DE48" s="98"/>
      <c r="DF48" s="98">
        <v>0</v>
      </c>
      <c r="DG48" s="98"/>
      <c r="DH48" s="98"/>
      <c r="DI48" s="98"/>
      <c r="DJ48" s="98">
        <v>0</v>
      </c>
      <c r="DK48" s="98"/>
      <c r="DL48" s="98"/>
      <c r="DM48" s="98"/>
      <c r="DN48" s="98">
        <v>0</v>
      </c>
      <c r="DO48" s="98"/>
      <c r="DP48" s="98"/>
      <c r="DQ48" s="98"/>
      <c r="DR48" s="98">
        <v>0</v>
      </c>
      <c r="DS48" s="98"/>
      <c r="DT48" s="98"/>
      <c r="DU48" s="98"/>
      <c r="DV48" s="98">
        <v>-0.25</v>
      </c>
      <c r="DW48" s="98"/>
      <c r="DX48" s="98"/>
      <c r="DY48" s="98"/>
      <c r="DZ48" s="98">
        <v>-0.25</v>
      </c>
      <c r="EA48" s="98"/>
      <c r="EB48" s="98"/>
      <c r="EC48" s="98"/>
      <c r="ED48" s="98">
        <v>0.1</v>
      </c>
      <c r="EE48" s="98"/>
      <c r="EF48" s="98"/>
      <c r="EG48" s="98"/>
      <c r="EH48" s="98">
        <v>1</v>
      </c>
      <c r="EI48" s="98"/>
      <c r="EJ48" s="98"/>
      <c r="EK48" s="98"/>
      <c r="EL48" s="98">
        <v>-0.75</v>
      </c>
      <c r="EM48" s="98"/>
      <c r="EN48" s="98"/>
      <c r="EO48" s="98"/>
      <c r="EP48" s="98">
        <v>0</v>
      </c>
      <c r="EQ48" s="98"/>
      <c r="ER48" s="98"/>
      <c r="ES48" s="98"/>
      <c r="ET48" s="98">
        <v>0</v>
      </c>
      <c r="EU48" s="98"/>
      <c r="EV48" s="98"/>
      <c r="EW48" s="98"/>
      <c r="EX48" s="98">
        <v>0</v>
      </c>
      <c r="EY48" s="98"/>
      <c r="EZ48" s="98"/>
      <c r="FA48" s="98"/>
      <c r="FB48" s="98">
        <v>-0.1</v>
      </c>
      <c r="FC48" s="98"/>
      <c r="FD48" s="98"/>
      <c r="FE48" s="98"/>
      <c r="FF48" s="98">
        <v>0</v>
      </c>
      <c r="FG48" s="98"/>
      <c r="FH48" s="98"/>
      <c r="FI48" s="98"/>
      <c r="FJ48" s="98">
        <v>0</v>
      </c>
      <c r="FK48" s="98"/>
      <c r="FL48" s="98"/>
      <c r="FM48" s="98"/>
      <c r="FN48" s="138"/>
      <c r="FO48" s="138"/>
      <c r="FP48" s="138"/>
      <c r="FQ48" s="138"/>
    </row>
    <row r="49" spans="1:173" s="5" customFormat="1" x14ac:dyDescent="0.25">
      <c r="A49" s="51" t="s">
        <v>627</v>
      </c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>
        <v>0</v>
      </c>
      <c r="AM49" s="97"/>
      <c r="AN49" s="97"/>
      <c r="AO49" s="97"/>
      <c r="AP49" s="97">
        <v>0</v>
      </c>
      <c r="AQ49" s="97"/>
      <c r="AR49" s="97"/>
      <c r="AS49" s="97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  <c r="BU49" s="76"/>
      <c r="BV49" s="76"/>
      <c r="BW49" s="76"/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K49" s="76"/>
      <c r="CL49" s="77"/>
      <c r="CM49" s="77"/>
      <c r="CN49" s="77"/>
      <c r="CO49" s="77"/>
      <c r="CP49" s="76"/>
      <c r="CQ49" s="76"/>
      <c r="CR49" s="76"/>
      <c r="CS49" s="76"/>
      <c r="CT49" s="76"/>
      <c r="CU49" s="76"/>
      <c r="CV49" s="76"/>
      <c r="CW49" s="76"/>
      <c r="CX49" s="98">
        <v>0</v>
      </c>
      <c r="CY49" s="98"/>
      <c r="CZ49" s="98"/>
      <c r="DA49" s="98"/>
      <c r="DB49" s="98">
        <v>0</v>
      </c>
      <c r="DC49" s="98"/>
      <c r="DD49" s="98"/>
      <c r="DE49" s="98"/>
      <c r="DF49" s="98">
        <v>0</v>
      </c>
      <c r="DG49" s="98"/>
      <c r="DH49" s="98"/>
      <c r="DI49" s="98"/>
      <c r="DJ49" s="98">
        <v>0</v>
      </c>
      <c r="DK49" s="98"/>
      <c r="DL49" s="98"/>
      <c r="DM49" s="98"/>
      <c r="DN49" s="98">
        <v>0.8</v>
      </c>
      <c r="DO49" s="98"/>
      <c r="DP49" s="98"/>
      <c r="DQ49" s="98"/>
      <c r="DR49" s="98">
        <v>0</v>
      </c>
      <c r="DS49" s="98"/>
      <c r="DT49" s="98"/>
      <c r="DU49" s="98"/>
      <c r="DV49" s="98">
        <v>0</v>
      </c>
      <c r="DW49" s="98"/>
      <c r="DX49" s="98"/>
      <c r="DY49" s="98"/>
      <c r="DZ49" s="98">
        <v>0</v>
      </c>
      <c r="EA49" s="98"/>
      <c r="EB49" s="98"/>
      <c r="EC49" s="98"/>
      <c r="ED49" s="98">
        <v>0</v>
      </c>
      <c r="EE49" s="98"/>
      <c r="EF49" s="98"/>
      <c r="EG49" s="98"/>
      <c r="EH49" s="98">
        <v>0</v>
      </c>
      <c r="EI49" s="98"/>
      <c r="EJ49" s="98"/>
      <c r="EK49" s="98"/>
      <c r="EL49" s="98">
        <v>0</v>
      </c>
      <c r="EM49" s="98"/>
      <c r="EN49" s="98"/>
      <c r="EO49" s="98"/>
      <c r="EP49" s="98">
        <v>0</v>
      </c>
      <c r="EQ49" s="98"/>
      <c r="ER49" s="98"/>
      <c r="ES49" s="98"/>
      <c r="ET49" s="98">
        <v>0</v>
      </c>
      <c r="EU49" s="98"/>
      <c r="EV49" s="98"/>
      <c r="EW49" s="98"/>
      <c r="EX49" s="98">
        <v>0</v>
      </c>
      <c r="EY49" s="98"/>
      <c r="EZ49" s="98"/>
      <c r="FA49" s="98"/>
      <c r="FB49" s="98">
        <v>0</v>
      </c>
      <c r="FC49" s="98"/>
      <c r="FD49" s="98"/>
      <c r="FE49" s="98"/>
      <c r="FF49" s="98">
        <v>0</v>
      </c>
      <c r="FG49" s="98"/>
      <c r="FH49" s="98"/>
      <c r="FI49" s="98"/>
      <c r="FJ49" s="98">
        <v>0</v>
      </c>
      <c r="FK49" s="98"/>
      <c r="FL49" s="98"/>
      <c r="FM49" s="98"/>
      <c r="FN49" s="138"/>
      <c r="FO49" s="138"/>
      <c r="FP49" s="138"/>
      <c r="FQ49" s="138"/>
    </row>
    <row r="50" spans="1:173" ht="15.75" thickBot="1" x14ac:dyDescent="0.3">
      <c r="A50" s="50" t="s">
        <v>599</v>
      </c>
      <c r="B50" s="45"/>
      <c r="C50" s="90" t="s">
        <v>355</v>
      </c>
      <c r="D50" s="90" t="s">
        <v>356</v>
      </c>
      <c r="E50" s="90" t="s">
        <v>357</v>
      </c>
      <c r="F50" s="45"/>
      <c r="G50" s="90" t="s">
        <v>355</v>
      </c>
      <c r="H50" s="90" t="s">
        <v>356</v>
      </c>
      <c r="I50" s="90" t="s">
        <v>357</v>
      </c>
      <c r="J50" s="45"/>
      <c r="K50" s="90" t="s">
        <v>355</v>
      </c>
      <c r="L50" s="90" t="s">
        <v>356</v>
      </c>
      <c r="M50" s="90" t="s">
        <v>357</v>
      </c>
      <c r="N50" s="45"/>
      <c r="O50" s="90" t="s">
        <v>355</v>
      </c>
      <c r="P50" s="90" t="s">
        <v>356</v>
      </c>
      <c r="Q50" s="90" t="s">
        <v>357</v>
      </c>
      <c r="R50" s="45"/>
      <c r="S50" s="90" t="s">
        <v>355</v>
      </c>
      <c r="T50" s="90" t="s">
        <v>356</v>
      </c>
      <c r="U50" s="90" t="s">
        <v>357</v>
      </c>
      <c r="V50" s="45"/>
      <c r="W50" s="90" t="s">
        <v>355</v>
      </c>
      <c r="X50" s="90" t="s">
        <v>356</v>
      </c>
      <c r="Y50" s="90" t="s">
        <v>357</v>
      </c>
      <c r="Z50" s="45"/>
      <c r="AA50" s="90" t="s">
        <v>355</v>
      </c>
      <c r="AB50" s="90" t="s">
        <v>356</v>
      </c>
      <c r="AC50" s="90" t="s">
        <v>357</v>
      </c>
      <c r="AD50" s="45"/>
      <c r="AE50" s="90" t="s">
        <v>355</v>
      </c>
      <c r="AF50" s="90" t="s">
        <v>356</v>
      </c>
      <c r="AG50" s="90" t="s">
        <v>357</v>
      </c>
      <c r="AH50" s="45"/>
      <c r="AI50" s="90" t="s">
        <v>355</v>
      </c>
      <c r="AJ50" s="90" t="s">
        <v>356</v>
      </c>
      <c r="AK50" s="90" t="s">
        <v>357</v>
      </c>
      <c r="AL50" s="45"/>
      <c r="AM50" s="90" t="s">
        <v>355</v>
      </c>
      <c r="AN50" s="90" t="s">
        <v>356</v>
      </c>
      <c r="AO50" s="90" t="s">
        <v>357</v>
      </c>
      <c r="AP50" s="45"/>
      <c r="AQ50" s="90" t="s">
        <v>355</v>
      </c>
      <c r="AR50" s="90" t="s">
        <v>356</v>
      </c>
      <c r="AS50" s="90" t="s">
        <v>357</v>
      </c>
      <c r="AT50" s="74"/>
      <c r="AU50" s="79" t="s">
        <v>355</v>
      </c>
      <c r="AV50" s="79" t="s">
        <v>356</v>
      </c>
      <c r="AW50" s="79" t="s">
        <v>357</v>
      </c>
      <c r="AX50" s="74"/>
      <c r="AY50" s="79" t="s">
        <v>355</v>
      </c>
      <c r="AZ50" s="79" t="s">
        <v>356</v>
      </c>
      <c r="BA50" s="79" t="s">
        <v>357</v>
      </c>
      <c r="BB50" s="74"/>
      <c r="BC50" s="79" t="s">
        <v>355</v>
      </c>
      <c r="BD50" s="79" t="s">
        <v>356</v>
      </c>
      <c r="BE50" s="79" t="s">
        <v>357</v>
      </c>
      <c r="BF50" s="74"/>
      <c r="BG50" s="79" t="s">
        <v>355</v>
      </c>
      <c r="BH50" s="79" t="s">
        <v>356</v>
      </c>
      <c r="BI50" s="79" t="s">
        <v>357</v>
      </c>
      <c r="BJ50" s="74"/>
      <c r="BK50" s="79" t="s">
        <v>355</v>
      </c>
      <c r="BL50" s="79" t="s">
        <v>356</v>
      </c>
      <c r="BM50" s="79" t="s">
        <v>357</v>
      </c>
      <c r="BN50" s="74"/>
      <c r="BO50" s="79" t="s">
        <v>355</v>
      </c>
      <c r="BP50" s="79" t="s">
        <v>356</v>
      </c>
      <c r="BQ50" s="79" t="s">
        <v>357</v>
      </c>
      <c r="BR50" s="74"/>
      <c r="BS50" s="79" t="s">
        <v>355</v>
      </c>
      <c r="BT50" s="79" t="s">
        <v>356</v>
      </c>
      <c r="BU50" s="79" t="s">
        <v>357</v>
      </c>
      <c r="BV50" s="74"/>
      <c r="BW50" s="79" t="s">
        <v>355</v>
      </c>
      <c r="BX50" s="79" t="s">
        <v>356</v>
      </c>
      <c r="BY50" s="79" t="s">
        <v>357</v>
      </c>
      <c r="BZ50" s="74"/>
      <c r="CA50" s="79" t="s">
        <v>355</v>
      </c>
      <c r="CB50" s="79" t="s">
        <v>356</v>
      </c>
      <c r="CC50" s="79" t="s">
        <v>357</v>
      </c>
      <c r="CD50" s="74"/>
      <c r="CE50" s="79" t="s">
        <v>355</v>
      </c>
      <c r="CF50" s="79" t="s">
        <v>356</v>
      </c>
      <c r="CG50" s="79" t="s">
        <v>357</v>
      </c>
      <c r="CH50" s="74"/>
      <c r="CI50" s="79" t="s">
        <v>355</v>
      </c>
      <c r="CJ50" s="79" t="s">
        <v>356</v>
      </c>
      <c r="CK50" s="79" t="s">
        <v>357</v>
      </c>
      <c r="CL50" s="74"/>
      <c r="CM50" s="79" t="s">
        <v>355</v>
      </c>
      <c r="CN50" s="79" t="s">
        <v>356</v>
      </c>
      <c r="CO50" s="79" t="s">
        <v>357</v>
      </c>
      <c r="CP50" s="74"/>
      <c r="CQ50" s="79" t="s">
        <v>355</v>
      </c>
      <c r="CR50" s="79" t="s">
        <v>356</v>
      </c>
      <c r="CS50" s="79" t="s">
        <v>357</v>
      </c>
      <c r="CT50" s="74"/>
      <c r="CU50" s="79" t="s">
        <v>355</v>
      </c>
      <c r="CV50" s="79" t="s">
        <v>356</v>
      </c>
      <c r="CW50" s="79" t="s">
        <v>357</v>
      </c>
      <c r="CX50" s="95"/>
      <c r="CY50" s="93" t="s">
        <v>355</v>
      </c>
      <c r="CZ50" s="93" t="s">
        <v>356</v>
      </c>
      <c r="DA50" s="93" t="s">
        <v>357</v>
      </c>
      <c r="DB50" s="57"/>
      <c r="DC50" s="93" t="s">
        <v>355</v>
      </c>
      <c r="DD50" s="93" t="s">
        <v>356</v>
      </c>
      <c r="DE50" s="93" t="s">
        <v>357</v>
      </c>
      <c r="DF50" s="95"/>
      <c r="DG50" s="93" t="s">
        <v>355</v>
      </c>
      <c r="DH50" s="93" t="s">
        <v>356</v>
      </c>
      <c r="DI50" s="93" t="s">
        <v>357</v>
      </c>
      <c r="DJ50" s="95"/>
      <c r="DK50" s="93" t="s">
        <v>355</v>
      </c>
      <c r="DL50" s="93" t="s">
        <v>356</v>
      </c>
      <c r="DM50" s="93" t="s">
        <v>357</v>
      </c>
      <c r="DN50" s="95"/>
      <c r="DO50" s="93" t="s">
        <v>355</v>
      </c>
      <c r="DP50" s="93" t="s">
        <v>356</v>
      </c>
      <c r="DQ50" s="93" t="s">
        <v>357</v>
      </c>
      <c r="DR50" s="95"/>
      <c r="DS50" s="93" t="s">
        <v>355</v>
      </c>
      <c r="DT50" s="93" t="s">
        <v>356</v>
      </c>
      <c r="DU50" s="93" t="s">
        <v>357</v>
      </c>
      <c r="DV50" s="95"/>
      <c r="DW50" s="93" t="s">
        <v>355</v>
      </c>
      <c r="DX50" s="93" t="s">
        <v>356</v>
      </c>
      <c r="DY50" s="93" t="s">
        <v>357</v>
      </c>
      <c r="DZ50" s="95"/>
      <c r="EA50" s="93" t="s">
        <v>355</v>
      </c>
      <c r="EB50" s="93" t="s">
        <v>356</v>
      </c>
      <c r="EC50" s="93" t="s">
        <v>357</v>
      </c>
      <c r="ED50" s="95"/>
      <c r="EE50" s="93" t="s">
        <v>355</v>
      </c>
      <c r="EF50" s="93" t="s">
        <v>356</v>
      </c>
      <c r="EG50" s="93" t="s">
        <v>357</v>
      </c>
      <c r="EH50" s="95"/>
      <c r="EI50" s="93" t="s">
        <v>355</v>
      </c>
      <c r="EJ50" s="93" t="s">
        <v>356</v>
      </c>
      <c r="EK50" s="93" t="s">
        <v>357</v>
      </c>
      <c r="EL50" s="93"/>
      <c r="EM50" s="93" t="s">
        <v>355</v>
      </c>
      <c r="EN50" s="93" t="s">
        <v>356</v>
      </c>
      <c r="EO50" s="93" t="s">
        <v>357</v>
      </c>
      <c r="EP50" s="57"/>
      <c r="EQ50" s="93" t="s">
        <v>355</v>
      </c>
      <c r="ER50" s="93" t="s">
        <v>356</v>
      </c>
      <c r="ES50" s="93" t="s">
        <v>357</v>
      </c>
      <c r="ET50" s="57"/>
      <c r="EU50" s="93" t="s">
        <v>355</v>
      </c>
      <c r="EV50" s="93" t="s">
        <v>356</v>
      </c>
      <c r="EW50" s="93" t="s">
        <v>357</v>
      </c>
      <c r="EX50" s="57"/>
      <c r="EY50" s="93" t="s">
        <v>355</v>
      </c>
      <c r="EZ50" s="93" t="s">
        <v>356</v>
      </c>
      <c r="FA50" s="93" t="s">
        <v>357</v>
      </c>
      <c r="FB50" s="95"/>
      <c r="FC50" s="93" t="s">
        <v>355</v>
      </c>
      <c r="FD50" s="93" t="s">
        <v>356</v>
      </c>
      <c r="FE50" s="93" t="s">
        <v>357</v>
      </c>
      <c r="FF50" s="95"/>
      <c r="FG50" s="93" t="s">
        <v>355</v>
      </c>
      <c r="FH50" s="93" t="s">
        <v>356</v>
      </c>
      <c r="FI50" s="93" t="s">
        <v>357</v>
      </c>
      <c r="FJ50" s="95"/>
      <c r="FK50" s="93" t="s">
        <v>355</v>
      </c>
      <c r="FL50" s="93" t="s">
        <v>356</v>
      </c>
      <c r="FM50" s="93" t="s">
        <v>357</v>
      </c>
      <c r="FN50" s="135"/>
      <c r="FO50" s="135" t="s">
        <v>355</v>
      </c>
      <c r="FP50" s="135" t="s">
        <v>356</v>
      </c>
      <c r="FQ50" s="135" t="s">
        <v>357</v>
      </c>
    </row>
    <row r="51" spans="1:173" s="6" customFormat="1" x14ac:dyDescent="0.25">
      <c r="A51" s="52" t="s">
        <v>115</v>
      </c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7"/>
      <c r="BL51" s="77"/>
      <c r="BM51" s="77"/>
      <c r="BN51" s="77"/>
      <c r="BO51" s="77"/>
      <c r="BP51" s="77"/>
      <c r="BQ51" s="77"/>
      <c r="BR51" s="77"/>
      <c r="BS51" s="77"/>
      <c r="BT51" s="77"/>
      <c r="BU51" s="77"/>
      <c r="BV51" s="77"/>
      <c r="BW51" s="77"/>
      <c r="BX51" s="77"/>
      <c r="BY51" s="77"/>
      <c r="BZ51" s="77"/>
      <c r="CA51" s="77"/>
      <c r="CB51" s="77"/>
      <c r="CC51" s="77"/>
      <c r="CD51" s="77"/>
      <c r="CE51" s="77"/>
      <c r="CF51" s="77"/>
      <c r="CG51" s="77"/>
      <c r="CH51" s="77"/>
      <c r="CI51" s="77"/>
      <c r="CJ51" s="77"/>
      <c r="CK51" s="77"/>
      <c r="CL51" s="77"/>
      <c r="CM51" s="77"/>
      <c r="CN51" s="77"/>
      <c r="CO51" s="75"/>
      <c r="CP51" s="77"/>
      <c r="CQ51" s="77"/>
      <c r="CR51" s="77"/>
      <c r="CS51" s="77"/>
      <c r="CT51" s="77"/>
      <c r="CU51" s="77"/>
      <c r="CV51" s="77"/>
      <c r="CW51" s="77"/>
      <c r="CX51" s="96">
        <v>1</v>
      </c>
      <c r="CY51" s="96"/>
      <c r="CZ51" s="96"/>
      <c r="DA51" s="96"/>
      <c r="DB51" s="58"/>
      <c r="DC51" s="96"/>
      <c r="DD51" s="96"/>
      <c r="DE51" s="96"/>
      <c r="DF51" s="96"/>
      <c r="DG51" s="96"/>
      <c r="DH51" s="96"/>
      <c r="DI51" s="96"/>
      <c r="DJ51" s="96"/>
      <c r="DK51" s="96"/>
      <c r="DL51" s="96"/>
      <c r="DM51" s="96"/>
      <c r="DN51" s="96"/>
      <c r="DO51" s="96"/>
      <c r="DP51" s="96"/>
      <c r="DQ51" s="96"/>
      <c r="DR51" s="96">
        <v>3.8536600000000001</v>
      </c>
      <c r="DS51" s="96"/>
      <c r="DT51" s="96"/>
      <c r="DU51" s="96"/>
      <c r="DV51" s="96">
        <f>DW51*14</f>
        <v>4.7907999999999999</v>
      </c>
      <c r="DW51" s="96">
        <v>0.3422</v>
      </c>
      <c r="DX51" s="96"/>
      <c r="DY51" s="96"/>
      <c r="DZ51" s="96"/>
      <c r="EA51" s="96"/>
      <c r="EB51" s="96"/>
      <c r="EC51" s="96"/>
      <c r="ED51" s="96"/>
      <c r="EE51" s="96"/>
      <c r="EF51" s="96"/>
      <c r="EG51" s="96"/>
      <c r="EH51" s="96">
        <v>0.235682</v>
      </c>
      <c r="EI51" s="96"/>
      <c r="EJ51" s="96"/>
      <c r="EK51" s="96"/>
      <c r="EL51" s="96"/>
      <c r="EM51" s="96"/>
      <c r="EN51" s="96"/>
      <c r="EO51" s="96"/>
      <c r="EP51" s="58"/>
      <c r="EQ51" s="96"/>
      <c r="ER51" s="96"/>
      <c r="ES51" s="96"/>
      <c r="ET51" s="58"/>
      <c r="EU51" s="96"/>
      <c r="EV51" s="96"/>
      <c r="EW51" s="96"/>
      <c r="EX51" s="58"/>
      <c r="EY51" s="96"/>
      <c r="EZ51" s="96"/>
      <c r="FA51" s="96"/>
      <c r="FB51" s="96"/>
      <c r="FC51" s="96"/>
      <c r="FD51" s="96"/>
      <c r="FE51" s="96"/>
      <c r="FF51" s="96"/>
      <c r="FG51" s="96"/>
      <c r="FH51" s="96"/>
      <c r="FI51" s="96"/>
      <c r="FJ51" s="96"/>
      <c r="FK51" s="96"/>
      <c r="FL51" s="96"/>
      <c r="FM51" s="96"/>
      <c r="FN51" s="140"/>
      <c r="FO51" s="140"/>
      <c r="FP51" s="140"/>
      <c r="FQ51" s="140"/>
    </row>
    <row r="52" spans="1:173" ht="15.75" thickBot="1" x14ac:dyDescent="0.3">
      <c r="A52" s="50" t="s">
        <v>596</v>
      </c>
      <c r="B52" s="45"/>
      <c r="C52" s="90" t="s">
        <v>355</v>
      </c>
      <c r="D52" s="90" t="s">
        <v>356</v>
      </c>
      <c r="E52" s="90" t="s">
        <v>357</v>
      </c>
      <c r="F52" s="45"/>
      <c r="G52" s="90" t="s">
        <v>355</v>
      </c>
      <c r="H52" s="90" t="s">
        <v>356</v>
      </c>
      <c r="I52" s="90" t="s">
        <v>357</v>
      </c>
      <c r="J52" s="45"/>
      <c r="K52" s="90" t="s">
        <v>355</v>
      </c>
      <c r="L52" s="90" t="s">
        <v>356</v>
      </c>
      <c r="M52" s="90" t="s">
        <v>357</v>
      </c>
      <c r="N52" s="45"/>
      <c r="O52" s="90" t="s">
        <v>355</v>
      </c>
      <c r="P52" s="90" t="s">
        <v>356</v>
      </c>
      <c r="Q52" s="90" t="s">
        <v>357</v>
      </c>
      <c r="R52" s="45"/>
      <c r="S52" s="90" t="s">
        <v>355</v>
      </c>
      <c r="T52" s="90" t="s">
        <v>356</v>
      </c>
      <c r="U52" s="90" t="s">
        <v>357</v>
      </c>
      <c r="V52" s="45"/>
      <c r="W52" s="90" t="s">
        <v>355</v>
      </c>
      <c r="X52" s="90" t="s">
        <v>356</v>
      </c>
      <c r="Y52" s="90" t="s">
        <v>357</v>
      </c>
      <c r="Z52" s="45"/>
      <c r="AA52" s="90" t="s">
        <v>355</v>
      </c>
      <c r="AB52" s="90" t="s">
        <v>356</v>
      </c>
      <c r="AC52" s="90" t="s">
        <v>357</v>
      </c>
      <c r="AD52" s="45"/>
      <c r="AE52" s="90" t="s">
        <v>355</v>
      </c>
      <c r="AF52" s="90" t="s">
        <v>356</v>
      </c>
      <c r="AG52" s="90" t="s">
        <v>357</v>
      </c>
      <c r="AH52" s="45"/>
      <c r="AI52" s="90" t="s">
        <v>355</v>
      </c>
      <c r="AJ52" s="90" t="s">
        <v>356</v>
      </c>
      <c r="AK52" s="90" t="s">
        <v>357</v>
      </c>
      <c r="AL52" s="45"/>
      <c r="AM52" s="90" t="s">
        <v>355</v>
      </c>
      <c r="AN52" s="90" t="s">
        <v>356</v>
      </c>
      <c r="AO52" s="90" t="s">
        <v>357</v>
      </c>
      <c r="AP52" s="45"/>
      <c r="AQ52" s="90" t="s">
        <v>355</v>
      </c>
      <c r="AR52" s="90" t="s">
        <v>356</v>
      </c>
      <c r="AS52" s="90" t="s">
        <v>357</v>
      </c>
      <c r="AT52" s="74"/>
      <c r="AU52" s="79" t="s">
        <v>355</v>
      </c>
      <c r="AV52" s="79" t="s">
        <v>356</v>
      </c>
      <c r="AW52" s="79" t="s">
        <v>357</v>
      </c>
      <c r="AX52" s="74"/>
      <c r="AY52" s="79" t="s">
        <v>355</v>
      </c>
      <c r="AZ52" s="79" t="s">
        <v>356</v>
      </c>
      <c r="BA52" s="79" t="s">
        <v>357</v>
      </c>
      <c r="BB52" s="74"/>
      <c r="BC52" s="79" t="s">
        <v>355</v>
      </c>
      <c r="BD52" s="79" t="s">
        <v>356</v>
      </c>
      <c r="BE52" s="79" t="s">
        <v>357</v>
      </c>
      <c r="BF52" s="74"/>
      <c r="BG52" s="79" t="s">
        <v>355</v>
      </c>
      <c r="BH52" s="79" t="s">
        <v>356</v>
      </c>
      <c r="BI52" s="79" t="s">
        <v>357</v>
      </c>
      <c r="BJ52" s="74"/>
      <c r="BK52" s="79" t="s">
        <v>355</v>
      </c>
      <c r="BL52" s="79" t="s">
        <v>356</v>
      </c>
      <c r="BM52" s="79" t="s">
        <v>357</v>
      </c>
      <c r="BN52" s="74"/>
      <c r="BO52" s="79" t="s">
        <v>355</v>
      </c>
      <c r="BP52" s="79" t="s">
        <v>356</v>
      </c>
      <c r="BQ52" s="79" t="s">
        <v>357</v>
      </c>
      <c r="BR52" s="74"/>
      <c r="BS52" s="79" t="s">
        <v>355</v>
      </c>
      <c r="BT52" s="79" t="s">
        <v>356</v>
      </c>
      <c r="BU52" s="79" t="s">
        <v>357</v>
      </c>
      <c r="BV52" s="74"/>
      <c r="BW52" s="79" t="s">
        <v>355</v>
      </c>
      <c r="BX52" s="79" t="s">
        <v>356</v>
      </c>
      <c r="BY52" s="79" t="s">
        <v>357</v>
      </c>
      <c r="BZ52" s="74"/>
      <c r="CA52" s="79" t="s">
        <v>355</v>
      </c>
      <c r="CB52" s="79" t="s">
        <v>356</v>
      </c>
      <c r="CC52" s="79" t="s">
        <v>357</v>
      </c>
      <c r="CD52" s="74"/>
      <c r="CE52" s="79" t="s">
        <v>355</v>
      </c>
      <c r="CF52" s="79" t="s">
        <v>356</v>
      </c>
      <c r="CG52" s="79" t="s">
        <v>357</v>
      </c>
      <c r="CH52" s="74"/>
      <c r="CI52" s="79" t="s">
        <v>355</v>
      </c>
      <c r="CJ52" s="79" t="s">
        <v>356</v>
      </c>
      <c r="CK52" s="79" t="s">
        <v>357</v>
      </c>
      <c r="CL52" s="74"/>
      <c r="CM52" s="79" t="s">
        <v>355</v>
      </c>
      <c r="CN52" s="79" t="s">
        <v>356</v>
      </c>
      <c r="CO52" s="79" t="s">
        <v>357</v>
      </c>
      <c r="CP52" s="74"/>
      <c r="CQ52" s="79" t="s">
        <v>355</v>
      </c>
      <c r="CR52" s="79" t="s">
        <v>356</v>
      </c>
      <c r="CS52" s="79" t="s">
        <v>357</v>
      </c>
      <c r="CT52" s="74"/>
      <c r="CU52" s="79" t="s">
        <v>355</v>
      </c>
      <c r="CV52" s="79" t="s">
        <v>356</v>
      </c>
      <c r="CW52" s="79" t="s">
        <v>357</v>
      </c>
      <c r="CX52" s="95"/>
      <c r="CY52" s="93" t="s">
        <v>355</v>
      </c>
      <c r="CZ52" s="93" t="s">
        <v>356</v>
      </c>
      <c r="DA52" s="93" t="s">
        <v>357</v>
      </c>
      <c r="DB52" s="57"/>
      <c r="DC52" s="93" t="s">
        <v>355</v>
      </c>
      <c r="DD52" s="93" t="s">
        <v>356</v>
      </c>
      <c r="DE52" s="93" t="s">
        <v>357</v>
      </c>
      <c r="DF52" s="95"/>
      <c r="DG52" s="93" t="s">
        <v>355</v>
      </c>
      <c r="DH52" s="93" t="s">
        <v>356</v>
      </c>
      <c r="DI52" s="93" t="s">
        <v>357</v>
      </c>
      <c r="DJ52" s="95"/>
      <c r="DK52" s="93" t="s">
        <v>355</v>
      </c>
      <c r="DL52" s="93" t="s">
        <v>356</v>
      </c>
      <c r="DM52" s="93" t="s">
        <v>357</v>
      </c>
      <c r="DN52" s="95"/>
      <c r="DO52" s="93" t="s">
        <v>355</v>
      </c>
      <c r="DP52" s="93" t="s">
        <v>356</v>
      </c>
      <c r="DQ52" s="93" t="s">
        <v>357</v>
      </c>
      <c r="DR52" s="95"/>
      <c r="DS52" s="93" t="s">
        <v>355</v>
      </c>
      <c r="DT52" s="93" t="s">
        <v>356</v>
      </c>
      <c r="DU52" s="93" t="s">
        <v>357</v>
      </c>
      <c r="DV52" s="95"/>
      <c r="DW52" s="93" t="s">
        <v>355</v>
      </c>
      <c r="DX52" s="93" t="s">
        <v>356</v>
      </c>
      <c r="DY52" s="93" t="s">
        <v>357</v>
      </c>
      <c r="DZ52" s="95"/>
      <c r="EA52" s="93" t="s">
        <v>355</v>
      </c>
      <c r="EB52" s="93" t="s">
        <v>356</v>
      </c>
      <c r="EC52" s="93" t="s">
        <v>357</v>
      </c>
      <c r="ED52" s="95"/>
      <c r="EE52" s="93" t="s">
        <v>355</v>
      </c>
      <c r="EF52" s="93" t="s">
        <v>356</v>
      </c>
      <c r="EG52" s="93" t="s">
        <v>357</v>
      </c>
      <c r="EH52" s="95"/>
      <c r="EI52" s="93" t="s">
        <v>355</v>
      </c>
      <c r="EJ52" s="93" t="s">
        <v>356</v>
      </c>
      <c r="EK52" s="93" t="s">
        <v>357</v>
      </c>
      <c r="EL52" s="93"/>
      <c r="EM52" s="93" t="s">
        <v>355</v>
      </c>
      <c r="EN52" s="93" t="s">
        <v>356</v>
      </c>
      <c r="EO52" s="93" t="s">
        <v>357</v>
      </c>
      <c r="EP52" s="57"/>
      <c r="EQ52" s="93" t="s">
        <v>355</v>
      </c>
      <c r="ER52" s="93" t="s">
        <v>356</v>
      </c>
      <c r="ES52" s="93" t="s">
        <v>357</v>
      </c>
      <c r="ET52" s="57"/>
      <c r="EU52" s="93" t="s">
        <v>355</v>
      </c>
      <c r="EV52" s="93" t="s">
        <v>356</v>
      </c>
      <c r="EW52" s="93" t="s">
        <v>357</v>
      </c>
      <c r="EX52" s="57"/>
      <c r="EY52" s="93" t="s">
        <v>355</v>
      </c>
      <c r="EZ52" s="93" t="s">
        <v>356</v>
      </c>
      <c r="FA52" s="93" t="s">
        <v>357</v>
      </c>
      <c r="FB52" s="95"/>
      <c r="FC52" s="93" t="s">
        <v>355</v>
      </c>
      <c r="FD52" s="93" t="s">
        <v>356</v>
      </c>
      <c r="FE52" s="93" t="s">
        <v>357</v>
      </c>
      <c r="FF52" s="95"/>
      <c r="FG52" s="93" t="s">
        <v>355</v>
      </c>
      <c r="FH52" s="93" t="s">
        <v>356</v>
      </c>
      <c r="FI52" s="93" t="s">
        <v>357</v>
      </c>
      <c r="FJ52" s="95"/>
      <c r="FK52" s="93" t="s">
        <v>355</v>
      </c>
      <c r="FL52" s="93" t="s">
        <v>356</v>
      </c>
      <c r="FM52" s="93" t="s">
        <v>357</v>
      </c>
      <c r="FN52" s="135"/>
      <c r="FO52" s="136" t="s">
        <v>355</v>
      </c>
      <c r="FP52" s="136" t="s">
        <v>356</v>
      </c>
      <c r="FQ52" s="136" t="s">
        <v>357</v>
      </c>
    </row>
    <row r="53" spans="1:173" s="6" customFormat="1" x14ac:dyDescent="0.25">
      <c r="A53" s="52" t="s">
        <v>115</v>
      </c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7"/>
      <c r="BL53" s="77"/>
      <c r="BM53" s="77"/>
      <c r="BN53" s="77"/>
      <c r="BO53" s="77"/>
      <c r="BP53" s="77"/>
      <c r="BQ53" s="77"/>
      <c r="BR53" s="77"/>
      <c r="BS53" s="77"/>
      <c r="BT53" s="77"/>
      <c r="BU53" s="77"/>
      <c r="BV53" s="77"/>
      <c r="BW53" s="77"/>
      <c r="BX53" s="77"/>
      <c r="BY53" s="77"/>
      <c r="BZ53" s="77"/>
      <c r="CA53" s="77"/>
      <c r="CB53" s="77"/>
      <c r="CC53" s="77"/>
      <c r="CD53" s="77"/>
      <c r="CE53" s="77"/>
      <c r="CF53" s="77"/>
      <c r="CG53" s="77"/>
      <c r="CH53" s="77"/>
      <c r="CI53" s="77"/>
      <c r="CJ53" s="77"/>
      <c r="CK53" s="77"/>
      <c r="CL53" s="75"/>
      <c r="CM53" s="77"/>
      <c r="CN53" s="77"/>
      <c r="CO53" s="75"/>
      <c r="CP53" s="77"/>
      <c r="CQ53" s="77"/>
      <c r="CR53" s="77"/>
      <c r="CS53" s="77"/>
      <c r="CT53" s="77"/>
      <c r="CU53" s="77"/>
      <c r="CV53" s="77"/>
      <c r="CW53" s="77"/>
      <c r="CX53" s="96">
        <v>1</v>
      </c>
      <c r="CY53" s="96"/>
      <c r="CZ53" s="96"/>
      <c r="DA53" s="96"/>
      <c r="DB53" s="58"/>
      <c r="DC53" s="96"/>
      <c r="DD53" s="96"/>
      <c r="DE53" s="96"/>
      <c r="DF53" s="96"/>
      <c r="DG53" s="96"/>
      <c r="DH53" s="96"/>
      <c r="DI53" s="96"/>
      <c r="DJ53" s="96"/>
      <c r="DK53" s="96"/>
      <c r="DL53" s="96"/>
      <c r="DM53" s="96"/>
      <c r="DN53" s="96"/>
      <c r="DO53" s="96"/>
      <c r="DP53" s="96"/>
      <c r="DQ53" s="96"/>
      <c r="DR53" s="96">
        <v>3.9040599999999999</v>
      </c>
      <c r="DS53" s="96"/>
      <c r="DT53" s="96"/>
      <c r="DU53" s="96"/>
      <c r="DV53" s="96">
        <f t="shared" ref="DV53:DV75" si="8">DW53*14</f>
        <v>5.5790000000000006</v>
      </c>
      <c r="DW53" s="96">
        <v>0.39850000000000002</v>
      </c>
      <c r="DX53" s="96"/>
      <c r="DY53" s="96"/>
      <c r="DZ53" s="96"/>
      <c r="EA53" s="96"/>
      <c r="EB53" s="96"/>
      <c r="EC53" s="96"/>
      <c r="ED53" s="96"/>
      <c r="EE53" s="96"/>
      <c r="EF53" s="96"/>
      <c r="EG53" s="96"/>
      <c r="EH53" s="96">
        <v>0.38196000000000002</v>
      </c>
      <c r="EI53" s="96"/>
      <c r="EJ53" s="96"/>
      <c r="EK53" s="96"/>
      <c r="EL53" s="96"/>
      <c r="EM53" s="96"/>
      <c r="EN53" s="96"/>
      <c r="EO53" s="96"/>
      <c r="EP53" s="58"/>
      <c r="EQ53" s="96"/>
      <c r="ER53" s="96"/>
      <c r="ES53" s="96"/>
      <c r="ET53" s="58"/>
      <c r="EU53" s="96"/>
      <c r="EV53" s="96"/>
      <c r="EW53" s="96"/>
      <c r="EX53" s="58"/>
      <c r="EY53" s="96"/>
      <c r="EZ53" s="96"/>
      <c r="FA53" s="96"/>
      <c r="FB53" s="96"/>
      <c r="FC53" s="96"/>
      <c r="FD53" s="96"/>
      <c r="FE53" s="96"/>
      <c r="FF53" s="96"/>
      <c r="FG53" s="96"/>
      <c r="FH53" s="96"/>
      <c r="FI53" s="96"/>
      <c r="FJ53" s="96"/>
      <c r="FK53" s="96"/>
      <c r="FL53" s="96"/>
      <c r="FM53" s="96"/>
      <c r="FN53" s="140"/>
      <c r="FO53" s="140"/>
      <c r="FP53" s="140"/>
      <c r="FQ53" s="140"/>
    </row>
    <row r="54" spans="1:173" ht="15.75" thickBot="1" x14ac:dyDescent="0.3">
      <c r="A54" s="50" t="s">
        <v>595</v>
      </c>
      <c r="B54" s="45"/>
      <c r="C54" s="90" t="s">
        <v>355</v>
      </c>
      <c r="D54" s="90" t="s">
        <v>356</v>
      </c>
      <c r="E54" s="90" t="s">
        <v>357</v>
      </c>
      <c r="F54" s="45"/>
      <c r="G54" s="90" t="s">
        <v>355</v>
      </c>
      <c r="H54" s="90" t="s">
        <v>356</v>
      </c>
      <c r="I54" s="90" t="s">
        <v>357</v>
      </c>
      <c r="J54" s="45"/>
      <c r="K54" s="90" t="s">
        <v>355</v>
      </c>
      <c r="L54" s="90" t="s">
        <v>356</v>
      </c>
      <c r="M54" s="90" t="s">
        <v>357</v>
      </c>
      <c r="N54" s="45"/>
      <c r="O54" s="90" t="s">
        <v>355</v>
      </c>
      <c r="P54" s="90" t="s">
        <v>356</v>
      </c>
      <c r="Q54" s="90" t="s">
        <v>357</v>
      </c>
      <c r="R54" s="45"/>
      <c r="S54" s="90" t="s">
        <v>355</v>
      </c>
      <c r="T54" s="90" t="s">
        <v>356</v>
      </c>
      <c r="U54" s="90" t="s">
        <v>357</v>
      </c>
      <c r="V54" s="45"/>
      <c r="W54" s="90" t="s">
        <v>355</v>
      </c>
      <c r="X54" s="90" t="s">
        <v>356</v>
      </c>
      <c r="Y54" s="90" t="s">
        <v>357</v>
      </c>
      <c r="Z54" s="45"/>
      <c r="AA54" s="90" t="s">
        <v>355</v>
      </c>
      <c r="AB54" s="90" t="s">
        <v>356</v>
      </c>
      <c r="AC54" s="90" t="s">
        <v>357</v>
      </c>
      <c r="AD54" s="45"/>
      <c r="AE54" s="90" t="s">
        <v>355</v>
      </c>
      <c r="AF54" s="90" t="s">
        <v>356</v>
      </c>
      <c r="AG54" s="90" t="s">
        <v>357</v>
      </c>
      <c r="AH54" s="45"/>
      <c r="AI54" s="90" t="s">
        <v>355</v>
      </c>
      <c r="AJ54" s="90" t="s">
        <v>356</v>
      </c>
      <c r="AK54" s="90" t="s">
        <v>357</v>
      </c>
      <c r="AL54" s="45"/>
      <c r="AM54" s="90" t="s">
        <v>355</v>
      </c>
      <c r="AN54" s="90" t="s">
        <v>356</v>
      </c>
      <c r="AO54" s="90" t="s">
        <v>357</v>
      </c>
      <c r="AP54" s="45"/>
      <c r="AQ54" s="90" t="s">
        <v>355</v>
      </c>
      <c r="AR54" s="90" t="s">
        <v>356</v>
      </c>
      <c r="AS54" s="90" t="s">
        <v>357</v>
      </c>
      <c r="AT54" s="74"/>
      <c r="AU54" s="79" t="s">
        <v>355</v>
      </c>
      <c r="AV54" s="79" t="s">
        <v>356</v>
      </c>
      <c r="AW54" s="79" t="s">
        <v>357</v>
      </c>
      <c r="AX54" s="74"/>
      <c r="AY54" s="79" t="s">
        <v>355</v>
      </c>
      <c r="AZ54" s="79" t="s">
        <v>356</v>
      </c>
      <c r="BA54" s="79" t="s">
        <v>357</v>
      </c>
      <c r="BB54" s="74"/>
      <c r="BC54" s="79" t="s">
        <v>355</v>
      </c>
      <c r="BD54" s="79" t="s">
        <v>356</v>
      </c>
      <c r="BE54" s="79" t="s">
        <v>357</v>
      </c>
      <c r="BF54" s="74"/>
      <c r="BG54" s="79" t="s">
        <v>355</v>
      </c>
      <c r="BH54" s="79" t="s">
        <v>356</v>
      </c>
      <c r="BI54" s="79" t="s">
        <v>357</v>
      </c>
      <c r="BJ54" s="74"/>
      <c r="BK54" s="79" t="s">
        <v>355</v>
      </c>
      <c r="BL54" s="79" t="s">
        <v>356</v>
      </c>
      <c r="BM54" s="79" t="s">
        <v>357</v>
      </c>
      <c r="BN54" s="74"/>
      <c r="BO54" s="79" t="s">
        <v>355</v>
      </c>
      <c r="BP54" s="79" t="s">
        <v>356</v>
      </c>
      <c r="BQ54" s="79" t="s">
        <v>357</v>
      </c>
      <c r="BR54" s="74"/>
      <c r="BS54" s="79" t="s">
        <v>355</v>
      </c>
      <c r="BT54" s="79" t="s">
        <v>356</v>
      </c>
      <c r="BU54" s="79" t="s">
        <v>357</v>
      </c>
      <c r="BV54" s="74"/>
      <c r="BW54" s="79" t="s">
        <v>355</v>
      </c>
      <c r="BX54" s="79" t="s">
        <v>356</v>
      </c>
      <c r="BY54" s="79" t="s">
        <v>357</v>
      </c>
      <c r="BZ54" s="74"/>
      <c r="CA54" s="79" t="s">
        <v>355</v>
      </c>
      <c r="CB54" s="79" t="s">
        <v>356</v>
      </c>
      <c r="CC54" s="79" t="s">
        <v>357</v>
      </c>
      <c r="CD54" s="74"/>
      <c r="CE54" s="79" t="s">
        <v>355</v>
      </c>
      <c r="CF54" s="79" t="s">
        <v>356</v>
      </c>
      <c r="CG54" s="79" t="s">
        <v>357</v>
      </c>
      <c r="CH54" s="74"/>
      <c r="CI54" s="79" t="s">
        <v>355</v>
      </c>
      <c r="CJ54" s="79" t="s">
        <v>356</v>
      </c>
      <c r="CK54" s="79" t="s">
        <v>357</v>
      </c>
      <c r="CL54" s="74"/>
      <c r="CM54" s="79" t="s">
        <v>355</v>
      </c>
      <c r="CN54" s="79" t="s">
        <v>356</v>
      </c>
      <c r="CO54" s="79" t="s">
        <v>357</v>
      </c>
      <c r="CP54" s="74"/>
      <c r="CQ54" s="79" t="s">
        <v>355</v>
      </c>
      <c r="CR54" s="79" t="s">
        <v>356</v>
      </c>
      <c r="CS54" s="79" t="s">
        <v>357</v>
      </c>
      <c r="CT54" s="74"/>
      <c r="CU54" s="79" t="s">
        <v>355</v>
      </c>
      <c r="CV54" s="79" t="s">
        <v>356</v>
      </c>
      <c r="CW54" s="79" t="s">
        <v>357</v>
      </c>
      <c r="CX54" s="95"/>
      <c r="CY54" s="93" t="s">
        <v>355</v>
      </c>
      <c r="CZ54" s="93" t="s">
        <v>356</v>
      </c>
      <c r="DA54" s="93" t="s">
        <v>357</v>
      </c>
      <c r="DB54" s="57"/>
      <c r="DC54" s="93" t="s">
        <v>355</v>
      </c>
      <c r="DD54" s="93" t="s">
        <v>356</v>
      </c>
      <c r="DE54" s="93" t="s">
        <v>357</v>
      </c>
      <c r="DF54" s="95"/>
      <c r="DG54" s="93" t="s">
        <v>355</v>
      </c>
      <c r="DH54" s="93" t="s">
        <v>356</v>
      </c>
      <c r="DI54" s="93" t="s">
        <v>357</v>
      </c>
      <c r="DJ54" s="95"/>
      <c r="DK54" s="93" t="s">
        <v>355</v>
      </c>
      <c r="DL54" s="93" t="s">
        <v>356</v>
      </c>
      <c r="DM54" s="93" t="s">
        <v>357</v>
      </c>
      <c r="DN54" s="95"/>
      <c r="DO54" s="93" t="s">
        <v>355</v>
      </c>
      <c r="DP54" s="93" t="s">
        <v>356</v>
      </c>
      <c r="DQ54" s="93" t="s">
        <v>357</v>
      </c>
      <c r="DR54" s="95"/>
      <c r="DS54" s="93" t="s">
        <v>355</v>
      </c>
      <c r="DT54" s="93" t="s">
        <v>356</v>
      </c>
      <c r="DU54" s="93" t="s">
        <v>357</v>
      </c>
      <c r="DV54" s="95"/>
      <c r="DW54" s="93" t="s">
        <v>355</v>
      </c>
      <c r="DX54" s="93" t="s">
        <v>356</v>
      </c>
      <c r="DY54" s="93" t="s">
        <v>357</v>
      </c>
      <c r="DZ54" s="95"/>
      <c r="EA54" s="93" t="s">
        <v>355</v>
      </c>
      <c r="EB54" s="93" t="s">
        <v>356</v>
      </c>
      <c r="EC54" s="93" t="s">
        <v>357</v>
      </c>
      <c r="ED54" s="95"/>
      <c r="EE54" s="93" t="s">
        <v>355</v>
      </c>
      <c r="EF54" s="93" t="s">
        <v>356</v>
      </c>
      <c r="EG54" s="93" t="s">
        <v>357</v>
      </c>
      <c r="EH54" s="95"/>
      <c r="EI54" s="93" t="s">
        <v>355</v>
      </c>
      <c r="EJ54" s="93" t="s">
        <v>356</v>
      </c>
      <c r="EK54" s="93" t="s">
        <v>357</v>
      </c>
      <c r="EL54" s="93"/>
      <c r="EM54" s="93" t="s">
        <v>355</v>
      </c>
      <c r="EN54" s="93" t="s">
        <v>356</v>
      </c>
      <c r="EO54" s="93" t="s">
        <v>357</v>
      </c>
      <c r="EP54" s="57"/>
      <c r="EQ54" s="93" t="s">
        <v>355</v>
      </c>
      <c r="ER54" s="93" t="s">
        <v>356</v>
      </c>
      <c r="ES54" s="93" t="s">
        <v>357</v>
      </c>
      <c r="ET54" s="57"/>
      <c r="EU54" s="93" t="s">
        <v>355</v>
      </c>
      <c r="EV54" s="93" t="s">
        <v>356</v>
      </c>
      <c r="EW54" s="93" t="s">
        <v>357</v>
      </c>
      <c r="EX54" s="57"/>
      <c r="EY54" s="93" t="s">
        <v>355</v>
      </c>
      <c r="EZ54" s="93" t="s">
        <v>356</v>
      </c>
      <c r="FA54" s="93" t="s">
        <v>357</v>
      </c>
      <c r="FB54" s="95"/>
      <c r="FC54" s="93" t="s">
        <v>355</v>
      </c>
      <c r="FD54" s="93" t="s">
        <v>356</v>
      </c>
      <c r="FE54" s="93" t="s">
        <v>357</v>
      </c>
      <c r="FF54" s="95"/>
      <c r="FG54" s="93" t="s">
        <v>355</v>
      </c>
      <c r="FH54" s="93" t="s">
        <v>356</v>
      </c>
      <c r="FI54" s="93" t="s">
        <v>357</v>
      </c>
      <c r="FJ54" s="95"/>
      <c r="FK54" s="93" t="s">
        <v>355</v>
      </c>
      <c r="FL54" s="93" t="s">
        <v>356</v>
      </c>
      <c r="FM54" s="93" t="s">
        <v>357</v>
      </c>
      <c r="FN54" s="135"/>
      <c r="FO54" s="136" t="s">
        <v>355</v>
      </c>
      <c r="FP54" s="136" t="s">
        <v>356</v>
      </c>
      <c r="FQ54" s="136" t="s">
        <v>357</v>
      </c>
    </row>
    <row r="55" spans="1:173" s="6" customFormat="1" x14ac:dyDescent="0.25">
      <c r="A55" s="52" t="s">
        <v>115</v>
      </c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7"/>
      <c r="BL55" s="77"/>
      <c r="BM55" s="77"/>
      <c r="BN55" s="77"/>
      <c r="BO55" s="77"/>
      <c r="BP55" s="77"/>
      <c r="BQ55" s="77"/>
      <c r="BR55" s="77"/>
      <c r="BS55" s="77"/>
      <c r="BT55" s="77"/>
      <c r="BU55" s="77"/>
      <c r="BV55" s="77"/>
      <c r="BW55" s="77"/>
      <c r="BX55" s="77"/>
      <c r="BY55" s="77"/>
      <c r="BZ55" s="77"/>
      <c r="CA55" s="77"/>
      <c r="CB55" s="77"/>
      <c r="CC55" s="77"/>
      <c r="CD55" s="77"/>
      <c r="CE55" s="77"/>
      <c r="CF55" s="77"/>
      <c r="CG55" s="77"/>
      <c r="CH55" s="77"/>
      <c r="CI55" s="77"/>
      <c r="CJ55" s="77"/>
      <c r="CK55" s="77"/>
      <c r="CL55" s="77"/>
      <c r="CM55" s="77"/>
      <c r="CN55" s="77"/>
      <c r="CO55" s="77"/>
      <c r="CP55" s="77"/>
      <c r="CQ55" s="77"/>
      <c r="CR55" s="77"/>
      <c r="CS55" s="77"/>
      <c r="CT55" s="77"/>
      <c r="CU55" s="77"/>
      <c r="CV55" s="77"/>
      <c r="CW55" s="77"/>
      <c r="CX55" s="96">
        <v>2</v>
      </c>
      <c r="CY55" s="96"/>
      <c r="CZ55" s="96"/>
      <c r="DA55" s="96"/>
      <c r="DB55" s="58"/>
      <c r="DC55" s="96"/>
      <c r="DD55" s="96"/>
      <c r="DE55" s="96"/>
      <c r="DF55" s="96"/>
      <c r="DG55" s="96"/>
      <c r="DH55" s="96"/>
      <c r="DI55" s="96"/>
      <c r="DJ55" s="96"/>
      <c r="DK55" s="96"/>
      <c r="DL55" s="96"/>
      <c r="DM55" s="96"/>
      <c r="DN55" s="96"/>
      <c r="DO55" s="96"/>
      <c r="DP55" s="96"/>
      <c r="DQ55" s="96"/>
      <c r="DR55" s="96">
        <v>2.6981999999999999</v>
      </c>
      <c r="DS55" s="96"/>
      <c r="DT55" s="96"/>
      <c r="DU55" s="96"/>
      <c r="DV55" s="96">
        <f t="shared" si="8"/>
        <v>1.6506000000000001</v>
      </c>
      <c r="DW55" s="96">
        <v>0.1179</v>
      </c>
      <c r="DX55" s="96"/>
      <c r="DY55" s="96"/>
      <c r="DZ55" s="96"/>
      <c r="EA55" s="96"/>
      <c r="EB55" s="96"/>
      <c r="EC55" s="96"/>
      <c r="ED55" s="96"/>
      <c r="EE55" s="96"/>
      <c r="EF55" s="96"/>
      <c r="EG55" s="96"/>
      <c r="EH55" s="96">
        <v>8.6427100000000007E-2</v>
      </c>
      <c r="EI55" s="96"/>
      <c r="EJ55" s="96"/>
      <c r="EK55" s="96"/>
      <c r="EL55" s="96"/>
      <c r="EM55" s="96"/>
      <c r="EN55" s="96"/>
      <c r="EO55" s="96"/>
      <c r="EP55" s="58"/>
      <c r="EQ55" s="96"/>
      <c r="ER55" s="96"/>
      <c r="ES55" s="96"/>
      <c r="ET55" s="58"/>
      <c r="EU55" s="96"/>
      <c r="EV55" s="96"/>
      <c r="EW55" s="96"/>
      <c r="EX55" s="58"/>
      <c r="EY55" s="96"/>
      <c r="EZ55" s="96"/>
      <c r="FA55" s="96"/>
      <c r="FB55" s="96"/>
      <c r="FC55" s="96"/>
      <c r="FD55" s="96"/>
      <c r="FE55" s="96"/>
      <c r="FF55" s="96"/>
      <c r="FG55" s="96"/>
      <c r="FH55" s="96"/>
      <c r="FI55" s="96"/>
      <c r="FJ55" s="96"/>
      <c r="FK55" s="96"/>
      <c r="FL55" s="96"/>
      <c r="FM55" s="96"/>
      <c r="FN55" s="140"/>
      <c r="FO55" s="140"/>
      <c r="FP55" s="140"/>
      <c r="FQ55" s="140"/>
    </row>
    <row r="56" spans="1:173" ht="15.75" thickBot="1" x14ac:dyDescent="0.3">
      <c r="A56" s="50" t="s">
        <v>600</v>
      </c>
      <c r="B56" s="45"/>
      <c r="C56" s="90" t="s">
        <v>355</v>
      </c>
      <c r="D56" s="90" t="s">
        <v>356</v>
      </c>
      <c r="E56" s="90" t="s">
        <v>357</v>
      </c>
      <c r="F56" s="45"/>
      <c r="G56" s="90" t="s">
        <v>355</v>
      </c>
      <c r="H56" s="90" t="s">
        <v>356</v>
      </c>
      <c r="I56" s="90" t="s">
        <v>357</v>
      </c>
      <c r="J56" s="45"/>
      <c r="K56" s="90" t="s">
        <v>355</v>
      </c>
      <c r="L56" s="90" t="s">
        <v>356</v>
      </c>
      <c r="M56" s="90" t="s">
        <v>357</v>
      </c>
      <c r="N56" s="45"/>
      <c r="O56" s="90" t="s">
        <v>355</v>
      </c>
      <c r="P56" s="90" t="s">
        <v>356</v>
      </c>
      <c r="Q56" s="90" t="s">
        <v>357</v>
      </c>
      <c r="R56" s="45"/>
      <c r="S56" s="90" t="s">
        <v>355</v>
      </c>
      <c r="T56" s="90" t="s">
        <v>356</v>
      </c>
      <c r="U56" s="90" t="s">
        <v>357</v>
      </c>
      <c r="V56" s="45"/>
      <c r="W56" s="90" t="s">
        <v>355</v>
      </c>
      <c r="X56" s="90" t="s">
        <v>356</v>
      </c>
      <c r="Y56" s="90" t="s">
        <v>357</v>
      </c>
      <c r="Z56" s="45"/>
      <c r="AA56" s="90" t="s">
        <v>355</v>
      </c>
      <c r="AB56" s="90" t="s">
        <v>356</v>
      </c>
      <c r="AC56" s="90" t="s">
        <v>357</v>
      </c>
      <c r="AD56" s="45"/>
      <c r="AE56" s="90" t="s">
        <v>355</v>
      </c>
      <c r="AF56" s="90" t="s">
        <v>356</v>
      </c>
      <c r="AG56" s="90" t="s">
        <v>357</v>
      </c>
      <c r="AH56" s="45"/>
      <c r="AI56" s="90" t="s">
        <v>355</v>
      </c>
      <c r="AJ56" s="90" t="s">
        <v>356</v>
      </c>
      <c r="AK56" s="90" t="s">
        <v>357</v>
      </c>
      <c r="AL56" s="45"/>
      <c r="AM56" s="90" t="s">
        <v>355</v>
      </c>
      <c r="AN56" s="90" t="s">
        <v>356</v>
      </c>
      <c r="AO56" s="90" t="s">
        <v>357</v>
      </c>
      <c r="AP56" s="45"/>
      <c r="AQ56" s="90" t="s">
        <v>355</v>
      </c>
      <c r="AR56" s="90" t="s">
        <v>356</v>
      </c>
      <c r="AS56" s="90" t="s">
        <v>357</v>
      </c>
      <c r="AT56" s="74"/>
      <c r="AU56" s="79" t="s">
        <v>355</v>
      </c>
      <c r="AV56" s="79" t="s">
        <v>356</v>
      </c>
      <c r="AW56" s="79" t="s">
        <v>357</v>
      </c>
      <c r="AX56" s="74"/>
      <c r="AY56" s="79" t="s">
        <v>355</v>
      </c>
      <c r="AZ56" s="79" t="s">
        <v>356</v>
      </c>
      <c r="BA56" s="79" t="s">
        <v>357</v>
      </c>
      <c r="BB56" s="74"/>
      <c r="BC56" s="79" t="s">
        <v>355</v>
      </c>
      <c r="BD56" s="79" t="s">
        <v>356</v>
      </c>
      <c r="BE56" s="79" t="s">
        <v>357</v>
      </c>
      <c r="BF56" s="74"/>
      <c r="BG56" s="79" t="s">
        <v>355</v>
      </c>
      <c r="BH56" s="79" t="s">
        <v>356</v>
      </c>
      <c r="BI56" s="79" t="s">
        <v>357</v>
      </c>
      <c r="BJ56" s="74"/>
      <c r="BK56" s="79" t="s">
        <v>355</v>
      </c>
      <c r="BL56" s="79" t="s">
        <v>356</v>
      </c>
      <c r="BM56" s="79" t="s">
        <v>357</v>
      </c>
      <c r="BN56" s="74"/>
      <c r="BO56" s="79" t="s">
        <v>355</v>
      </c>
      <c r="BP56" s="79" t="s">
        <v>356</v>
      </c>
      <c r="BQ56" s="79" t="s">
        <v>357</v>
      </c>
      <c r="BR56" s="74"/>
      <c r="BS56" s="79" t="s">
        <v>355</v>
      </c>
      <c r="BT56" s="79" t="s">
        <v>356</v>
      </c>
      <c r="BU56" s="79" t="s">
        <v>357</v>
      </c>
      <c r="BV56" s="74"/>
      <c r="BW56" s="79" t="s">
        <v>355</v>
      </c>
      <c r="BX56" s="79" t="s">
        <v>356</v>
      </c>
      <c r="BY56" s="79" t="s">
        <v>357</v>
      </c>
      <c r="BZ56" s="74"/>
      <c r="CA56" s="79" t="s">
        <v>355</v>
      </c>
      <c r="CB56" s="79" t="s">
        <v>356</v>
      </c>
      <c r="CC56" s="79" t="s">
        <v>357</v>
      </c>
      <c r="CD56" s="74"/>
      <c r="CE56" s="79" t="s">
        <v>355</v>
      </c>
      <c r="CF56" s="79" t="s">
        <v>356</v>
      </c>
      <c r="CG56" s="79" t="s">
        <v>357</v>
      </c>
      <c r="CH56" s="74"/>
      <c r="CI56" s="79" t="s">
        <v>355</v>
      </c>
      <c r="CJ56" s="79" t="s">
        <v>356</v>
      </c>
      <c r="CK56" s="79" t="s">
        <v>357</v>
      </c>
      <c r="CL56" s="74"/>
      <c r="CM56" s="79" t="s">
        <v>355</v>
      </c>
      <c r="CN56" s="79" t="s">
        <v>356</v>
      </c>
      <c r="CO56" s="79" t="s">
        <v>357</v>
      </c>
      <c r="CP56" s="74"/>
      <c r="CQ56" s="79" t="s">
        <v>355</v>
      </c>
      <c r="CR56" s="79" t="s">
        <v>356</v>
      </c>
      <c r="CS56" s="79" t="s">
        <v>357</v>
      </c>
      <c r="CT56" s="74"/>
      <c r="CU56" s="79" t="s">
        <v>355</v>
      </c>
      <c r="CV56" s="79" t="s">
        <v>356</v>
      </c>
      <c r="CW56" s="79" t="s">
        <v>357</v>
      </c>
      <c r="CX56" s="95"/>
      <c r="CY56" s="93" t="s">
        <v>355</v>
      </c>
      <c r="CZ56" s="93" t="s">
        <v>356</v>
      </c>
      <c r="DA56" s="93" t="s">
        <v>357</v>
      </c>
      <c r="DB56" s="57"/>
      <c r="DC56" s="93" t="s">
        <v>355</v>
      </c>
      <c r="DD56" s="93" t="s">
        <v>356</v>
      </c>
      <c r="DE56" s="93" t="s">
        <v>357</v>
      </c>
      <c r="DF56" s="95"/>
      <c r="DG56" s="93" t="s">
        <v>355</v>
      </c>
      <c r="DH56" s="93" t="s">
        <v>356</v>
      </c>
      <c r="DI56" s="93" t="s">
        <v>357</v>
      </c>
      <c r="DJ56" s="95"/>
      <c r="DK56" s="93" t="s">
        <v>355</v>
      </c>
      <c r="DL56" s="93" t="s">
        <v>356</v>
      </c>
      <c r="DM56" s="93" t="s">
        <v>357</v>
      </c>
      <c r="DN56" s="95"/>
      <c r="DO56" s="93" t="s">
        <v>355</v>
      </c>
      <c r="DP56" s="93" t="s">
        <v>356</v>
      </c>
      <c r="DQ56" s="93" t="s">
        <v>357</v>
      </c>
      <c r="DR56" s="95"/>
      <c r="DS56" s="93" t="s">
        <v>355</v>
      </c>
      <c r="DT56" s="93" t="s">
        <v>356</v>
      </c>
      <c r="DU56" s="93" t="s">
        <v>357</v>
      </c>
      <c r="DV56" s="95"/>
      <c r="DW56" s="93" t="s">
        <v>355</v>
      </c>
      <c r="DX56" s="93" t="s">
        <v>356</v>
      </c>
      <c r="DY56" s="93" t="s">
        <v>357</v>
      </c>
      <c r="DZ56" s="95"/>
      <c r="EA56" s="93" t="s">
        <v>355</v>
      </c>
      <c r="EB56" s="93" t="s">
        <v>356</v>
      </c>
      <c r="EC56" s="93" t="s">
        <v>357</v>
      </c>
      <c r="ED56" s="95"/>
      <c r="EE56" s="93" t="s">
        <v>355</v>
      </c>
      <c r="EF56" s="93" t="s">
        <v>356</v>
      </c>
      <c r="EG56" s="93" t="s">
        <v>357</v>
      </c>
      <c r="EH56" s="95"/>
      <c r="EI56" s="93" t="s">
        <v>355</v>
      </c>
      <c r="EJ56" s="93" t="s">
        <v>356</v>
      </c>
      <c r="EK56" s="93" t="s">
        <v>357</v>
      </c>
      <c r="EL56" s="93"/>
      <c r="EM56" s="93" t="s">
        <v>355</v>
      </c>
      <c r="EN56" s="93" t="s">
        <v>356</v>
      </c>
      <c r="EO56" s="93" t="s">
        <v>357</v>
      </c>
      <c r="EP56" s="57"/>
      <c r="EQ56" s="93" t="s">
        <v>355</v>
      </c>
      <c r="ER56" s="93" t="s">
        <v>356</v>
      </c>
      <c r="ES56" s="93" t="s">
        <v>357</v>
      </c>
      <c r="ET56" s="57"/>
      <c r="EU56" s="93" t="s">
        <v>355</v>
      </c>
      <c r="EV56" s="93" t="s">
        <v>356</v>
      </c>
      <c r="EW56" s="93" t="s">
        <v>357</v>
      </c>
      <c r="EX56" s="57"/>
      <c r="EY56" s="93" t="s">
        <v>355</v>
      </c>
      <c r="EZ56" s="93" t="s">
        <v>356</v>
      </c>
      <c r="FA56" s="93" t="s">
        <v>357</v>
      </c>
      <c r="FB56" s="95"/>
      <c r="FC56" s="93" t="s">
        <v>355</v>
      </c>
      <c r="FD56" s="93" t="s">
        <v>356</v>
      </c>
      <c r="FE56" s="93" t="s">
        <v>357</v>
      </c>
      <c r="FF56" s="95"/>
      <c r="FG56" s="93" t="s">
        <v>355</v>
      </c>
      <c r="FH56" s="93" t="s">
        <v>356</v>
      </c>
      <c r="FI56" s="93" t="s">
        <v>357</v>
      </c>
      <c r="FJ56" s="95"/>
      <c r="FK56" s="93" t="s">
        <v>355</v>
      </c>
      <c r="FL56" s="93" t="s">
        <v>356</v>
      </c>
      <c r="FM56" s="93" t="s">
        <v>357</v>
      </c>
      <c r="FN56" s="135"/>
      <c r="FO56" s="136" t="s">
        <v>355</v>
      </c>
      <c r="FP56" s="136" t="s">
        <v>356</v>
      </c>
      <c r="FQ56" s="136" t="s">
        <v>357</v>
      </c>
    </row>
    <row r="57" spans="1:173" s="6" customFormat="1" x14ac:dyDescent="0.25">
      <c r="A57" s="52" t="s">
        <v>115</v>
      </c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77"/>
      <c r="AU57" s="77"/>
      <c r="AV57" s="77"/>
      <c r="AW57" s="77"/>
      <c r="AX57" s="77"/>
      <c r="AY57" s="77"/>
      <c r="AZ57" s="77"/>
      <c r="BA57" s="77"/>
      <c r="BB57" s="77"/>
      <c r="BC57" s="77"/>
      <c r="BD57" s="77"/>
      <c r="BE57" s="77"/>
      <c r="BF57" s="77"/>
      <c r="BG57" s="77"/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  <c r="BS57" s="77"/>
      <c r="BT57" s="77"/>
      <c r="BU57" s="77"/>
      <c r="BV57" s="77"/>
      <c r="BW57" s="77"/>
      <c r="BX57" s="77"/>
      <c r="BY57" s="77"/>
      <c r="BZ57" s="77"/>
      <c r="CA57" s="77"/>
      <c r="CB57" s="77"/>
      <c r="CC57" s="77"/>
      <c r="CD57" s="77"/>
      <c r="CE57" s="77"/>
      <c r="CF57" s="77"/>
      <c r="CG57" s="77"/>
      <c r="CH57" s="77"/>
      <c r="CI57" s="77"/>
      <c r="CJ57" s="77"/>
      <c r="CK57" s="77"/>
      <c r="CL57" s="77"/>
      <c r="CM57" s="77"/>
      <c r="CN57" s="77"/>
      <c r="CO57" s="77"/>
      <c r="CP57" s="77"/>
      <c r="CQ57" s="77"/>
      <c r="CR57" s="77"/>
      <c r="CS57" s="77"/>
      <c r="CT57" s="77"/>
      <c r="CU57" s="77"/>
      <c r="CV57" s="77"/>
      <c r="CW57" s="77"/>
      <c r="CX57" s="96">
        <v>1</v>
      </c>
      <c r="CY57" s="96"/>
      <c r="CZ57" s="96"/>
      <c r="DA57" s="96"/>
      <c r="DB57" s="58"/>
      <c r="DC57" s="96"/>
      <c r="DD57" s="96"/>
      <c r="DE57" s="96"/>
      <c r="DF57" s="96"/>
      <c r="DG57" s="96"/>
      <c r="DH57" s="96"/>
      <c r="DI57" s="96"/>
      <c r="DJ57" s="96"/>
      <c r="DK57" s="96"/>
      <c r="DL57" s="96"/>
      <c r="DM57" s="96"/>
      <c r="DN57" s="96"/>
      <c r="DO57" s="96"/>
      <c r="DP57" s="96"/>
      <c r="DQ57" s="96"/>
      <c r="DR57" s="96">
        <v>3.2108699999999999</v>
      </c>
      <c r="DS57" s="96"/>
      <c r="DT57" s="96"/>
      <c r="DU57" s="96"/>
      <c r="DV57" s="96">
        <f t="shared" si="8"/>
        <v>7.359799999999999</v>
      </c>
      <c r="DW57" s="96">
        <v>0.52569999999999995</v>
      </c>
      <c r="DX57" s="96"/>
      <c r="DY57" s="96"/>
      <c r="DZ57" s="96"/>
      <c r="EA57" s="96"/>
      <c r="EB57" s="96"/>
      <c r="EC57" s="96"/>
      <c r="ED57" s="96"/>
      <c r="EE57" s="96"/>
      <c r="EF57" s="96"/>
      <c r="EG57" s="96"/>
      <c r="EH57" s="96">
        <v>0.39981699999999998</v>
      </c>
      <c r="EI57" s="96"/>
      <c r="EJ57" s="96"/>
      <c r="EK57" s="96"/>
      <c r="EL57" s="96"/>
      <c r="EM57" s="96"/>
      <c r="EN57" s="96"/>
      <c r="EO57" s="96"/>
      <c r="EP57" s="58"/>
      <c r="EQ57" s="96"/>
      <c r="ER57" s="96"/>
      <c r="ES57" s="96"/>
      <c r="ET57" s="58"/>
      <c r="EU57" s="96"/>
      <c r="EV57" s="96"/>
      <c r="EW57" s="96"/>
      <c r="EX57" s="58"/>
      <c r="EY57" s="96"/>
      <c r="EZ57" s="96"/>
      <c r="FA57" s="96"/>
      <c r="FB57" s="96"/>
      <c r="FC57" s="96"/>
      <c r="FD57" s="96"/>
      <c r="FE57" s="96"/>
      <c r="FF57" s="96"/>
      <c r="FG57" s="96"/>
      <c r="FH57" s="96"/>
      <c r="FI57" s="96"/>
      <c r="FJ57" s="96"/>
      <c r="FK57" s="96"/>
      <c r="FL57" s="96"/>
      <c r="FM57" s="96"/>
      <c r="FN57" s="140"/>
      <c r="FO57" s="140"/>
      <c r="FP57" s="140"/>
      <c r="FQ57" s="140"/>
    </row>
    <row r="58" spans="1:173" ht="15.75" thickBot="1" x14ac:dyDescent="0.3">
      <c r="A58" s="50" t="s">
        <v>605</v>
      </c>
      <c r="B58" s="45"/>
      <c r="C58" s="90" t="s">
        <v>355</v>
      </c>
      <c r="D58" s="90" t="s">
        <v>356</v>
      </c>
      <c r="E58" s="90" t="s">
        <v>357</v>
      </c>
      <c r="F58" s="45"/>
      <c r="G58" s="90" t="s">
        <v>355</v>
      </c>
      <c r="H58" s="90" t="s">
        <v>356</v>
      </c>
      <c r="I58" s="90" t="s">
        <v>357</v>
      </c>
      <c r="J58" s="45"/>
      <c r="K58" s="90" t="s">
        <v>355</v>
      </c>
      <c r="L58" s="90" t="s">
        <v>356</v>
      </c>
      <c r="M58" s="90" t="s">
        <v>357</v>
      </c>
      <c r="N58" s="45"/>
      <c r="O58" s="90" t="s">
        <v>355</v>
      </c>
      <c r="P58" s="90" t="s">
        <v>356</v>
      </c>
      <c r="Q58" s="90" t="s">
        <v>357</v>
      </c>
      <c r="R58" s="45"/>
      <c r="S58" s="90" t="s">
        <v>355</v>
      </c>
      <c r="T58" s="90" t="s">
        <v>356</v>
      </c>
      <c r="U58" s="90" t="s">
        <v>357</v>
      </c>
      <c r="V58" s="45"/>
      <c r="W58" s="90" t="s">
        <v>355</v>
      </c>
      <c r="X58" s="90" t="s">
        <v>356</v>
      </c>
      <c r="Y58" s="90" t="s">
        <v>357</v>
      </c>
      <c r="Z58" s="45"/>
      <c r="AA58" s="90" t="s">
        <v>355</v>
      </c>
      <c r="AB58" s="90" t="s">
        <v>356</v>
      </c>
      <c r="AC58" s="90" t="s">
        <v>357</v>
      </c>
      <c r="AD58" s="45"/>
      <c r="AE58" s="90" t="s">
        <v>355</v>
      </c>
      <c r="AF58" s="90" t="s">
        <v>356</v>
      </c>
      <c r="AG58" s="90" t="s">
        <v>357</v>
      </c>
      <c r="AH58" s="45"/>
      <c r="AI58" s="90" t="s">
        <v>355</v>
      </c>
      <c r="AJ58" s="90" t="s">
        <v>356</v>
      </c>
      <c r="AK58" s="90" t="s">
        <v>357</v>
      </c>
      <c r="AL58" s="45"/>
      <c r="AM58" s="90" t="s">
        <v>355</v>
      </c>
      <c r="AN58" s="90" t="s">
        <v>356</v>
      </c>
      <c r="AO58" s="90" t="s">
        <v>357</v>
      </c>
      <c r="AP58" s="45"/>
      <c r="AQ58" s="90" t="s">
        <v>355</v>
      </c>
      <c r="AR58" s="90" t="s">
        <v>356</v>
      </c>
      <c r="AS58" s="90" t="s">
        <v>357</v>
      </c>
      <c r="AT58" s="74"/>
      <c r="AU58" s="79" t="s">
        <v>355</v>
      </c>
      <c r="AV58" s="79" t="s">
        <v>356</v>
      </c>
      <c r="AW58" s="79" t="s">
        <v>357</v>
      </c>
      <c r="AX58" s="74"/>
      <c r="AY58" s="79" t="s">
        <v>355</v>
      </c>
      <c r="AZ58" s="79" t="s">
        <v>356</v>
      </c>
      <c r="BA58" s="79" t="s">
        <v>357</v>
      </c>
      <c r="BB58" s="74"/>
      <c r="BC58" s="79" t="s">
        <v>355</v>
      </c>
      <c r="BD58" s="79" t="s">
        <v>356</v>
      </c>
      <c r="BE58" s="79" t="s">
        <v>357</v>
      </c>
      <c r="BF58" s="74"/>
      <c r="BG58" s="79" t="s">
        <v>355</v>
      </c>
      <c r="BH58" s="79" t="s">
        <v>356</v>
      </c>
      <c r="BI58" s="79" t="s">
        <v>357</v>
      </c>
      <c r="BJ58" s="74"/>
      <c r="BK58" s="79" t="s">
        <v>355</v>
      </c>
      <c r="BL58" s="79" t="s">
        <v>356</v>
      </c>
      <c r="BM58" s="79" t="s">
        <v>357</v>
      </c>
      <c r="BN58" s="74"/>
      <c r="BO58" s="79" t="s">
        <v>355</v>
      </c>
      <c r="BP58" s="79" t="s">
        <v>356</v>
      </c>
      <c r="BQ58" s="79" t="s">
        <v>357</v>
      </c>
      <c r="BR58" s="74"/>
      <c r="BS58" s="79" t="s">
        <v>355</v>
      </c>
      <c r="BT58" s="79" t="s">
        <v>356</v>
      </c>
      <c r="BU58" s="79" t="s">
        <v>357</v>
      </c>
      <c r="BV58" s="74"/>
      <c r="BW58" s="79" t="s">
        <v>355</v>
      </c>
      <c r="BX58" s="79" t="s">
        <v>356</v>
      </c>
      <c r="BY58" s="79" t="s">
        <v>357</v>
      </c>
      <c r="BZ58" s="74"/>
      <c r="CA58" s="79" t="s">
        <v>355</v>
      </c>
      <c r="CB58" s="79" t="s">
        <v>356</v>
      </c>
      <c r="CC58" s="79" t="s">
        <v>357</v>
      </c>
      <c r="CD58" s="74"/>
      <c r="CE58" s="79" t="s">
        <v>355</v>
      </c>
      <c r="CF58" s="79" t="s">
        <v>356</v>
      </c>
      <c r="CG58" s="79" t="s">
        <v>357</v>
      </c>
      <c r="CH58" s="74"/>
      <c r="CI58" s="79" t="s">
        <v>355</v>
      </c>
      <c r="CJ58" s="79" t="s">
        <v>356</v>
      </c>
      <c r="CK58" s="79" t="s">
        <v>357</v>
      </c>
      <c r="CL58" s="74"/>
      <c r="CM58" s="79" t="s">
        <v>355</v>
      </c>
      <c r="CN58" s="79" t="s">
        <v>356</v>
      </c>
      <c r="CO58" s="79" t="s">
        <v>357</v>
      </c>
      <c r="CP58" s="74"/>
      <c r="CQ58" s="79" t="s">
        <v>355</v>
      </c>
      <c r="CR58" s="79" t="s">
        <v>356</v>
      </c>
      <c r="CS58" s="79" t="s">
        <v>357</v>
      </c>
      <c r="CT58" s="74"/>
      <c r="CU58" s="79" t="s">
        <v>355</v>
      </c>
      <c r="CV58" s="79" t="s">
        <v>356</v>
      </c>
      <c r="CW58" s="79" t="s">
        <v>357</v>
      </c>
      <c r="CX58" s="95"/>
      <c r="CY58" s="93" t="s">
        <v>355</v>
      </c>
      <c r="CZ58" s="93" t="s">
        <v>356</v>
      </c>
      <c r="DA58" s="93" t="s">
        <v>357</v>
      </c>
      <c r="DB58" s="142"/>
      <c r="DC58" s="93" t="s">
        <v>355</v>
      </c>
      <c r="DD58" s="93" t="s">
        <v>356</v>
      </c>
      <c r="DE58" s="93" t="s">
        <v>357</v>
      </c>
      <c r="DF58" s="95"/>
      <c r="DG58" s="93" t="s">
        <v>355</v>
      </c>
      <c r="DH58" s="93" t="s">
        <v>356</v>
      </c>
      <c r="DI58" s="93" t="s">
        <v>357</v>
      </c>
      <c r="DJ58" s="95"/>
      <c r="DK58" s="93" t="s">
        <v>355</v>
      </c>
      <c r="DL58" s="93" t="s">
        <v>356</v>
      </c>
      <c r="DM58" s="93" t="s">
        <v>357</v>
      </c>
      <c r="DN58" s="95"/>
      <c r="DO58" s="93" t="s">
        <v>355</v>
      </c>
      <c r="DP58" s="93" t="s">
        <v>356</v>
      </c>
      <c r="DQ58" s="93" t="s">
        <v>357</v>
      </c>
      <c r="DR58" s="95"/>
      <c r="DS58" s="93" t="s">
        <v>355</v>
      </c>
      <c r="DT58" s="93" t="s">
        <v>356</v>
      </c>
      <c r="DU58" s="93" t="s">
        <v>357</v>
      </c>
      <c r="DV58" s="95"/>
      <c r="DW58" s="93" t="s">
        <v>355</v>
      </c>
      <c r="DX58" s="93" t="s">
        <v>356</v>
      </c>
      <c r="DY58" s="93" t="s">
        <v>357</v>
      </c>
      <c r="DZ58" s="95"/>
      <c r="EA58" s="93" t="s">
        <v>355</v>
      </c>
      <c r="EB58" s="93" t="s">
        <v>356</v>
      </c>
      <c r="EC58" s="93" t="s">
        <v>357</v>
      </c>
      <c r="ED58" s="95"/>
      <c r="EE58" s="93" t="s">
        <v>355</v>
      </c>
      <c r="EF58" s="93" t="s">
        <v>356</v>
      </c>
      <c r="EG58" s="93" t="s">
        <v>357</v>
      </c>
      <c r="EH58" s="95"/>
      <c r="EI58" s="93" t="s">
        <v>355</v>
      </c>
      <c r="EJ58" s="93" t="s">
        <v>356</v>
      </c>
      <c r="EK58" s="93" t="s">
        <v>357</v>
      </c>
      <c r="EL58" s="93"/>
      <c r="EM58" s="93" t="s">
        <v>355</v>
      </c>
      <c r="EN58" s="93" t="s">
        <v>356</v>
      </c>
      <c r="EO58" s="93" t="s">
        <v>357</v>
      </c>
      <c r="EP58" s="57"/>
      <c r="EQ58" s="93" t="s">
        <v>355</v>
      </c>
      <c r="ER58" s="93" t="s">
        <v>356</v>
      </c>
      <c r="ES58" s="93" t="s">
        <v>357</v>
      </c>
      <c r="ET58" s="57"/>
      <c r="EU58" s="93" t="s">
        <v>355</v>
      </c>
      <c r="EV58" s="93" t="s">
        <v>356</v>
      </c>
      <c r="EW58" s="93" t="s">
        <v>357</v>
      </c>
      <c r="EX58" s="57"/>
      <c r="EY58" s="93" t="s">
        <v>355</v>
      </c>
      <c r="EZ58" s="93" t="s">
        <v>356</v>
      </c>
      <c r="FA58" s="93" t="s">
        <v>357</v>
      </c>
      <c r="FB58" s="95"/>
      <c r="FC58" s="93" t="s">
        <v>355</v>
      </c>
      <c r="FD58" s="93" t="s">
        <v>356</v>
      </c>
      <c r="FE58" s="93" t="s">
        <v>357</v>
      </c>
      <c r="FF58" s="95"/>
      <c r="FG58" s="93" t="s">
        <v>355</v>
      </c>
      <c r="FH58" s="93" t="s">
        <v>356</v>
      </c>
      <c r="FI58" s="93" t="s">
        <v>357</v>
      </c>
      <c r="FJ58" s="95"/>
      <c r="FK58" s="93" t="s">
        <v>355</v>
      </c>
      <c r="FL58" s="93" t="s">
        <v>356</v>
      </c>
      <c r="FM58" s="93" t="s">
        <v>357</v>
      </c>
      <c r="FN58" s="135"/>
      <c r="FO58" s="136" t="s">
        <v>355</v>
      </c>
      <c r="FP58" s="136" t="s">
        <v>356</v>
      </c>
      <c r="FQ58" s="136" t="s">
        <v>357</v>
      </c>
    </row>
    <row r="59" spans="1:173" s="6" customFormat="1" x14ac:dyDescent="0.25">
      <c r="A59" s="52" t="s">
        <v>115</v>
      </c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77"/>
      <c r="AU59" s="77"/>
      <c r="AV59" s="77"/>
      <c r="AW59" s="77"/>
      <c r="AX59" s="77"/>
      <c r="AY59" s="77"/>
      <c r="AZ59" s="77"/>
      <c r="BA59" s="77"/>
      <c r="BB59" s="77"/>
      <c r="BC59" s="77"/>
      <c r="BD59" s="77"/>
      <c r="BE59" s="77"/>
      <c r="BF59" s="77"/>
      <c r="BG59" s="77"/>
      <c r="BH59" s="77"/>
      <c r="BI59" s="77"/>
      <c r="BJ59" s="77"/>
      <c r="BK59" s="77"/>
      <c r="BL59" s="77"/>
      <c r="BM59" s="77"/>
      <c r="BN59" s="77"/>
      <c r="BO59" s="77"/>
      <c r="BP59" s="77"/>
      <c r="BQ59" s="77"/>
      <c r="BR59" s="77"/>
      <c r="BS59" s="77"/>
      <c r="BT59" s="77"/>
      <c r="BU59" s="77"/>
      <c r="BV59" s="77"/>
      <c r="BW59" s="77"/>
      <c r="BX59" s="77"/>
      <c r="BY59" s="77"/>
      <c r="BZ59" s="77"/>
      <c r="CA59" s="77"/>
      <c r="CB59" s="77"/>
      <c r="CC59" s="77"/>
      <c r="CD59" s="77"/>
      <c r="CE59" s="77"/>
      <c r="CF59" s="77"/>
      <c r="CG59" s="77"/>
      <c r="CH59" s="77"/>
      <c r="CI59" s="77"/>
      <c r="CJ59" s="77"/>
      <c r="CK59" s="77"/>
      <c r="CL59" s="77"/>
      <c r="CM59" s="77"/>
      <c r="CN59" s="77"/>
      <c r="CO59" s="77"/>
      <c r="CP59" s="77"/>
      <c r="CQ59" s="77"/>
      <c r="CR59" s="77"/>
      <c r="CS59" s="77"/>
      <c r="CT59" s="77"/>
      <c r="CU59" s="77"/>
      <c r="CV59" s="77"/>
      <c r="CW59" s="77"/>
      <c r="CX59" s="96">
        <v>1</v>
      </c>
      <c r="CY59" s="96"/>
      <c r="CZ59" s="96"/>
      <c r="DA59" s="96"/>
      <c r="DB59" s="58"/>
      <c r="DC59" s="96"/>
      <c r="DD59" s="96"/>
      <c r="DE59" s="96"/>
      <c r="DF59" s="96"/>
      <c r="DG59" s="96"/>
      <c r="DH59" s="96"/>
      <c r="DI59" s="96"/>
      <c r="DJ59" s="96"/>
      <c r="DK59" s="96"/>
      <c r="DL59" s="96"/>
      <c r="DM59" s="96"/>
      <c r="DN59" s="96"/>
      <c r="DO59" s="96"/>
      <c r="DP59" s="96"/>
      <c r="DQ59" s="96"/>
      <c r="DR59" s="96">
        <v>1.9163600000000001</v>
      </c>
      <c r="DS59" s="96"/>
      <c r="DT59" s="96"/>
      <c r="DU59" s="96"/>
      <c r="DV59" s="96">
        <f t="shared" si="8"/>
        <v>6.7241999999999997</v>
      </c>
      <c r="DW59" s="96">
        <v>0.4803</v>
      </c>
      <c r="DX59" s="96"/>
      <c r="DY59" s="96"/>
      <c r="DZ59" s="96"/>
      <c r="EA59" s="96"/>
      <c r="EB59" s="96"/>
      <c r="EC59" s="96"/>
      <c r="ED59" s="96"/>
      <c r="EE59" s="96"/>
      <c r="EF59" s="96"/>
      <c r="EG59" s="96"/>
      <c r="EH59" s="96">
        <v>0.38869700000000001</v>
      </c>
      <c r="EI59" s="96"/>
      <c r="EJ59" s="96"/>
      <c r="EK59" s="96"/>
      <c r="EL59" s="96"/>
      <c r="EM59" s="96"/>
      <c r="EN59" s="96"/>
      <c r="EO59" s="96"/>
      <c r="EP59" s="58"/>
      <c r="EQ59" s="96"/>
      <c r="ER59" s="96"/>
      <c r="ES59" s="96"/>
      <c r="ET59" s="58"/>
      <c r="EU59" s="96"/>
      <c r="EV59" s="96"/>
      <c r="EW59" s="96"/>
      <c r="EX59" s="58"/>
      <c r="EY59" s="96"/>
      <c r="EZ59" s="96"/>
      <c r="FA59" s="96"/>
      <c r="FB59" s="96"/>
      <c r="FC59" s="96"/>
      <c r="FD59" s="96"/>
      <c r="FE59" s="96"/>
      <c r="FF59" s="96"/>
      <c r="FG59" s="96"/>
      <c r="FH59" s="96"/>
      <c r="FI59" s="96"/>
      <c r="FJ59" s="96"/>
      <c r="FK59" s="96"/>
      <c r="FL59" s="96"/>
      <c r="FM59" s="96"/>
      <c r="FN59" s="140"/>
      <c r="FO59" s="140"/>
      <c r="FP59" s="140"/>
      <c r="FQ59" s="140"/>
    </row>
    <row r="60" spans="1:173" ht="15.75" thickBot="1" x14ac:dyDescent="0.3">
      <c r="A60" s="50" t="s">
        <v>606</v>
      </c>
      <c r="B60" s="45"/>
      <c r="C60" s="90" t="s">
        <v>355</v>
      </c>
      <c r="D60" s="90" t="s">
        <v>356</v>
      </c>
      <c r="E60" s="90" t="s">
        <v>357</v>
      </c>
      <c r="F60" s="45"/>
      <c r="G60" s="90" t="s">
        <v>355</v>
      </c>
      <c r="H60" s="90" t="s">
        <v>356</v>
      </c>
      <c r="I60" s="90" t="s">
        <v>357</v>
      </c>
      <c r="J60" s="45"/>
      <c r="K60" s="90" t="s">
        <v>355</v>
      </c>
      <c r="L60" s="90" t="s">
        <v>356</v>
      </c>
      <c r="M60" s="90" t="s">
        <v>357</v>
      </c>
      <c r="N60" s="45"/>
      <c r="O60" s="90" t="s">
        <v>355</v>
      </c>
      <c r="P60" s="90" t="s">
        <v>356</v>
      </c>
      <c r="Q60" s="90" t="s">
        <v>357</v>
      </c>
      <c r="R60" s="45"/>
      <c r="S60" s="90" t="s">
        <v>355</v>
      </c>
      <c r="T60" s="90" t="s">
        <v>356</v>
      </c>
      <c r="U60" s="90" t="s">
        <v>357</v>
      </c>
      <c r="V60" s="45"/>
      <c r="W60" s="90" t="s">
        <v>355</v>
      </c>
      <c r="X60" s="90" t="s">
        <v>356</v>
      </c>
      <c r="Y60" s="90" t="s">
        <v>357</v>
      </c>
      <c r="Z60" s="45"/>
      <c r="AA60" s="90" t="s">
        <v>355</v>
      </c>
      <c r="AB60" s="90" t="s">
        <v>356</v>
      </c>
      <c r="AC60" s="90" t="s">
        <v>357</v>
      </c>
      <c r="AD60" s="45"/>
      <c r="AE60" s="90" t="s">
        <v>355</v>
      </c>
      <c r="AF60" s="90" t="s">
        <v>356</v>
      </c>
      <c r="AG60" s="90" t="s">
        <v>357</v>
      </c>
      <c r="AH60" s="45"/>
      <c r="AI60" s="90" t="s">
        <v>355</v>
      </c>
      <c r="AJ60" s="90" t="s">
        <v>356</v>
      </c>
      <c r="AK60" s="90" t="s">
        <v>357</v>
      </c>
      <c r="AL60" s="45"/>
      <c r="AM60" s="90" t="s">
        <v>355</v>
      </c>
      <c r="AN60" s="90" t="s">
        <v>356</v>
      </c>
      <c r="AO60" s="90" t="s">
        <v>357</v>
      </c>
      <c r="AP60" s="45"/>
      <c r="AQ60" s="90" t="s">
        <v>355</v>
      </c>
      <c r="AR60" s="90" t="s">
        <v>356</v>
      </c>
      <c r="AS60" s="90" t="s">
        <v>357</v>
      </c>
      <c r="AT60" s="74"/>
      <c r="AU60" s="79" t="s">
        <v>355</v>
      </c>
      <c r="AV60" s="79" t="s">
        <v>356</v>
      </c>
      <c r="AW60" s="79" t="s">
        <v>357</v>
      </c>
      <c r="AX60" s="74"/>
      <c r="AY60" s="79" t="s">
        <v>355</v>
      </c>
      <c r="AZ60" s="79" t="s">
        <v>356</v>
      </c>
      <c r="BA60" s="79" t="s">
        <v>357</v>
      </c>
      <c r="BB60" s="74"/>
      <c r="BC60" s="79" t="s">
        <v>355</v>
      </c>
      <c r="BD60" s="79" t="s">
        <v>356</v>
      </c>
      <c r="BE60" s="79" t="s">
        <v>357</v>
      </c>
      <c r="BF60" s="74"/>
      <c r="BG60" s="79" t="s">
        <v>355</v>
      </c>
      <c r="BH60" s="79" t="s">
        <v>356</v>
      </c>
      <c r="BI60" s="79" t="s">
        <v>357</v>
      </c>
      <c r="BJ60" s="74"/>
      <c r="BK60" s="79" t="s">
        <v>355</v>
      </c>
      <c r="BL60" s="79" t="s">
        <v>356</v>
      </c>
      <c r="BM60" s="79" t="s">
        <v>357</v>
      </c>
      <c r="BN60" s="74"/>
      <c r="BO60" s="79" t="s">
        <v>355</v>
      </c>
      <c r="BP60" s="79" t="s">
        <v>356</v>
      </c>
      <c r="BQ60" s="79" t="s">
        <v>357</v>
      </c>
      <c r="BR60" s="74"/>
      <c r="BS60" s="79" t="s">
        <v>355</v>
      </c>
      <c r="BT60" s="79" t="s">
        <v>356</v>
      </c>
      <c r="BU60" s="79" t="s">
        <v>357</v>
      </c>
      <c r="BV60" s="74"/>
      <c r="BW60" s="79" t="s">
        <v>355</v>
      </c>
      <c r="BX60" s="79" t="s">
        <v>356</v>
      </c>
      <c r="BY60" s="79" t="s">
        <v>357</v>
      </c>
      <c r="BZ60" s="74"/>
      <c r="CA60" s="79" t="s">
        <v>355</v>
      </c>
      <c r="CB60" s="79" t="s">
        <v>356</v>
      </c>
      <c r="CC60" s="79" t="s">
        <v>357</v>
      </c>
      <c r="CD60" s="74"/>
      <c r="CE60" s="79" t="s">
        <v>355</v>
      </c>
      <c r="CF60" s="79" t="s">
        <v>356</v>
      </c>
      <c r="CG60" s="79" t="s">
        <v>357</v>
      </c>
      <c r="CH60" s="74"/>
      <c r="CI60" s="79" t="s">
        <v>355</v>
      </c>
      <c r="CJ60" s="79" t="s">
        <v>356</v>
      </c>
      <c r="CK60" s="79" t="s">
        <v>357</v>
      </c>
      <c r="CL60" s="74"/>
      <c r="CM60" s="79" t="s">
        <v>355</v>
      </c>
      <c r="CN60" s="79" t="s">
        <v>356</v>
      </c>
      <c r="CO60" s="79" t="s">
        <v>357</v>
      </c>
      <c r="CP60" s="74"/>
      <c r="CQ60" s="79" t="s">
        <v>355</v>
      </c>
      <c r="CR60" s="79" t="s">
        <v>356</v>
      </c>
      <c r="CS60" s="79" t="s">
        <v>357</v>
      </c>
      <c r="CT60" s="74"/>
      <c r="CU60" s="79" t="s">
        <v>355</v>
      </c>
      <c r="CV60" s="79" t="s">
        <v>356</v>
      </c>
      <c r="CW60" s="79" t="s">
        <v>357</v>
      </c>
      <c r="CX60" s="95"/>
      <c r="CY60" s="93" t="s">
        <v>355</v>
      </c>
      <c r="CZ60" s="93" t="s">
        <v>356</v>
      </c>
      <c r="DA60" s="93" t="s">
        <v>357</v>
      </c>
      <c r="DB60" s="57"/>
      <c r="DC60" s="93" t="s">
        <v>355</v>
      </c>
      <c r="DD60" s="93" t="s">
        <v>356</v>
      </c>
      <c r="DE60" s="93" t="s">
        <v>357</v>
      </c>
      <c r="DF60" s="95"/>
      <c r="DG60" s="93" t="s">
        <v>355</v>
      </c>
      <c r="DH60" s="93" t="s">
        <v>356</v>
      </c>
      <c r="DI60" s="93" t="s">
        <v>357</v>
      </c>
      <c r="DJ60" s="95"/>
      <c r="DK60" s="93" t="s">
        <v>355</v>
      </c>
      <c r="DL60" s="93" t="s">
        <v>356</v>
      </c>
      <c r="DM60" s="93" t="s">
        <v>357</v>
      </c>
      <c r="DN60" s="95"/>
      <c r="DO60" s="93" t="s">
        <v>355</v>
      </c>
      <c r="DP60" s="93" t="s">
        <v>356</v>
      </c>
      <c r="DQ60" s="93" t="s">
        <v>357</v>
      </c>
      <c r="DR60" s="95"/>
      <c r="DS60" s="93" t="s">
        <v>355</v>
      </c>
      <c r="DT60" s="93" t="s">
        <v>356</v>
      </c>
      <c r="DU60" s="93" t="s">
        <v>357</v>
      </c>
      <c r="DV60" s="95"/>
      <c r="DW60" s="93" t="s">
        <v>355</v>
      </c>
      <c r="DX60" s="93" t="s">
        <v>356</v>
      </c>
      <c r="DY60" s="93" t="s">
        <v>357</v>
      </c>
      <c r="DZ60" s="95"/>
      <c r="EA60" s="93" t="s">
        <v>355</v>
      </c>
      <c r="EB60" s="93" t="s">
        <v>356</v>
      </c>
      <c r="EC60" s="93" t="s">
        <v>357</v>
      </c>
      <c r="ED60" s="95"/>
      <c r="EE60" s="93" t="s">
        <v>355</v>
      </c>
      <c r="EF60" s="93" t="s">
        <v>356</v>
      </c>
      <c r="EG60" s="93" t="s">
        <v>357</v>
      </c>
      <c r="EH60" s="95"/>
      <c r="EI60" s="93" t="s">
        <v>355</v>
      </c>
      <c r="EJ60" s="93" t="s">
        <v>356</v>
      </c>
      <c r="EK60" s="93" t="s">
        <v>357</v>
      </c>
      <c r="EL60" s="93"/>
      <c r="EM60" s="93" t="s">
        <v>355</v>
      </c>
      <c r="EN60" s="93" t="s">
        <v>356</v>
      </c>
      <c r="EO60" s="93" t="s">
        <v>357</v>
      </c>
      <c r="EP60" s="57"/>
      <c r="EQ60" s="93" t="s">
        <v>355</v>
      </c>
      <c r="ER60" s="93" t="s">
        <v>356</v>
      </c>
      <c r="ES60" s="93" t="s">
        <v>357</v>
      </c>
      <c r="ET60" s="57"/>
      <c r="EU60" s="93" t="s">
        <v>355</v>
      </c>
      <c r="EV60" s="93" t="s">
        <v>356</v>
      </c>
      <c r="EW60" s="93" t="s">
        <v>357</v>
      </c>
      <c r="EX60" s="57"/>
      <c r="EY60" s="93" t="s">
        <v>355</v>
      </c>
      <c r="EZ60" s="93" t="s">
        <v>356</v>
      </c>
      <c r="FA60" s="93" t="s">
        <v>357</v>
      </c>
      <c r="FB60" s="95"/>
      <c r="FC60" s="93" t="s">
        <v>355</v>
      </c>
      <c r="FD60" s="93" t="s">
        <v>356</v>
      </c>
      <c r="FE60" s="93" t="s">
        <v>357</v>
      </c>
      <c r="FF60" s="95"/>
      <c r="FG60" s="93" t="s">
        <v>355</v>
      </c>
      <c r="FH60" s="93" t="s">
        <v>356</v>
      </c>
      <c r="FI60" s="93" t="s">
        <v>357</v>
      </c>
      <c r="FJ60" s="95"/>
      <c r="FK60" s="93" t="s">
        <v>355</v>
      </c>
      <c r="FL60" s="93" t="s">
        <v>356</v>
      </c>
      <c r="FM60" s="93" t="s">
        <v>357</v>
      </c>
      <c r="FN60" s="135"/>
      <c r="FO60" s="136" t="s">
        <v>355</v>
      </c>
      <c r="FP60" s="136" t="s">
        <v>356</v>
      </c>
      <c r="FQ60" s="136" t="s">
        <v>357</v>
      </c>
    </row>
    <row r="61" spans="1:173" s="6" customFormat="1" x14ac:dyDescent="0.25">
      <c r="A61" s="52" t="s">
        <v>115</v>
      </c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7"/>
      <c r="BL61" s="77"/>
      <c r="BM61" s="77"/>
      <c r="BN61" s="77"/>
      <c r="BO61" s="77"/>
      <c r="BP61" s="77"/>
      <c r="BQ61" s="77"/>
      <c r="BR61" s="77"/>
      <c r="BS61" s="77"/>
      <c r="BT61" s="77"/>
      <c r="BU61" s="77"/>
      <c r="BV61" s="77"/>
      <c r="BW61" s="77"/>
      <c r="BX61" s="77"/>
      <c r="BY61" s="77"/>
      <c r="BZ61" s="77"/>
      <c r="CA61" s="77"/>
      <c r="CB61" s="77"/>
      <c r="CC61" s="77"/>
      <c r="CD61" s="77"/>
      <c r="CE61" s="77"/>
      <c r="CF61" s="77"/>
      <c r="CG61" s="77"/>
      <c r="CH61" s="77"/>
      <c r="CI61" s="77"/>
      <c r="CJ61" s="77"/>
      <c r="CK61" s="77"/>
      <c r="CL61" s="77"/>
      <c r="CM61" s="77"/>
      <c r="CN61" s="77"/>
      <c r="CO61" s="77"/>
      <c r="CP61" s="77"/>
      <c r="CQ61" s="77"/>
      <c r="CR61" s="77"/>
      <c r="CS61" s="77"/>
      <c r="CT61" s="77"/>
      <c r="CU61" s="77"/>
      <c r="CV61" s="77"/>
      <c r="CW61" s="77"/>
      <c r="CX61" s="96">
        <v>4</v>
      </c>
      <c r="CY61" s="96"/>
      <c r="CZ61" s="96"/>
      <c r="DA61" s="96"/>
      <c r="DB61" s="58"/>
      <c r="DC61" s="96"/>
      <c r="DD61" s="96"/>
      <c r="DE61" s="96"/>
      <c r="DF61" s="96"/>
      <c r="DG61" s="96"/>
      <c r="DH61" s="96"/>
      <c r="DI61" s="96"/>
      <c r="DJ61" s="96"/>
      <c r="DK61" s="96"/>
      <c r="DL61" s="96"/>
      <c r="DM61" s="96"/>
      <c r="DN61" s="96"/>
      <c r="DO61" s="96"/>
      <c r="DP61" s="96"/>
      <c r="DQ61" s="96"/>
      <c r="DR61" s="96">
        <v>1.0354399999999999</v>
      </c>
      <c r="DS61" s="96"/>
      <c r="DT61" s="96"/>
      <c r="DU61" s="96"/>
      <c r="DV61" s="96">
        <f t="shared" si="8"/>
        <v>8.4336000000000002</v>
      </c>
      <c r="DW61" s="96">
        <v>0.60240000000000005</v>
      </c>
      <c r="DX61" s="96"/>
      <c r="DY61" s="96"/>
      <c r="DZ61" s="96"/>
      <c r="EA61" s="96"/>
      <c r="EB61" s="96"/>
      <c r="EC61" s="96"/>
      <c r="ED61" s="96"/>
      <c r="EE61" s="96"/>
      <c r="EF61" s="96"/>
      <c r="EG61" s="96"/>
      <c r="EH61" s="96">
        <v>0.42878699999999997</v>
      </c>
      <c r="EI61" s="96"/>
      <c r="EJ61" s="96"/>
      <c r="EK61" s="96"/>
      <c r="EL61" s="96"/>
      <c r="EM61" s="96"/>
      <c r="EN61" s="96"/>
      <c r="EO61" s="96"/>
      <c r="EP61" s="58"/>
      <c r="EQ61" s="96"/>
      <c r="ER61" s="96"/>
      <c r="ES61" s="96"/>
      <c r="ET61" s="58"/>
      <c r="EU61" s="96"/>
      <c r="EV61" s="96"/>
      <c r="EW61" s="96"/>
      <c r="EX61" s="58"/>
      <c r="EY61" s="96"/>
      <c r="EZ61" s="96"/>
      <c r="FA61" s="96"/>
      <c r="FB61" s="96"/>
      <c r="FC61" s="96"/>
      <c r="FD61" s="96"/>
      <c r="FE61" s="96"/>
      <c r="FF61" s="96"/>
      <c r="FG61" s="96"/>
      <c r="FH61" s="96"/>
      <c r="FI61" s="96"/>
      <c r="FJ61" s="96"/>
      <c r="FK61" s="96"/>
      <c r="FL61" s="96"/>
      <c r="FM61" s="96"/>
      <c r="FN61" s="140"/>
      <c r="FO61" s="140"/>
      <c r="FP61" s="140"/>
      <c r="FQ61" s="140"/>
    </row>
    <row r="62" spans="1:173" ht="15.75" thickBot="1" x14ac:dyDescent="0.3">
      <c r="A62" s="50" t="s">
        <v>602</v>
      </c>
      <c r="B62" s="45"/>
      <c r="C62" s="90" t="s">
        <v>355</v>
      </c>
      <c r="D62" s="90" t="s">
        <v>356</v>
      </c>
      <c r="E62" s="90" t="s">
        <v>357</v>
      </c>
      <c r="F62" s="45"/>
      <c r="G62" s="90" t="s">
        <v>355</v>
      </c>
      <c r="H62" s="90" t="s">
        <v>356</v>
      </c>
      <c r="I62" s="90" t="s">
        <v>357</v>
      </c>
      <c r="J62" s="45"/>
      <c r="K62" s="90" t="s">
        <v>355</v>
      </c>
      <c r="L62" s="90" t="s">
        <v>356</v>
      </c>
      <c r="M62" s="90" t="s">
        <v>357</v>
      </c>
      <c r="N62" s="45"/>
      <c r="O62" s="90" t="s">
        <v>355</v>
      </c>
      <c r="P62" s="90" t="s">
        <v>356</v>
      </c>
      <c r="Q62" s="90" t="s">
        <v>357</v>
      </c>
      <c r="R62" s="45"/>
      <c r="S62" s="90" t="s">
        <v>355</v>
      </c>
      <c r="T62" s="90" t="s">
        <v>356</v>
      </c>
      <c r="U62" s="90" t="s">
        <v>357</v>
      </c>
      <c r="V62" s="45"/>
      <c r="W62" s="90" t="s">
        <v>355</v>
      </c>
      <c r="X62" s="90" t="s">
        <v>356</v>
      </c>
      <c r="Y62" s="90" t="s">
        <v>357</v>
      </c>
      <c r="Z62" s="45"/>
      <c r="AA62" s="90" t="s">
        <v>355</v>
      </c>
      <c r="AB62" s="90" t="s">
        <v>356</v>
      </c>
      <c r="AC62" s="90" t="s">
        <v>357</v>
      </c>
      <c r="AD62" s="45"/>
      <c r="AE62" s="90" t="s">
        <v>355</v>
      </c>
      <c r="AF62" s="90" t="s">
        <v>356</v>
      </c>
      <c r="AG62" s="90" t="s">
        <v>357</v>
      </c>
      <c r="AH62" s="45"/>
      <c r="AI62" s="90" t="s">
        <v>355</v>
      </c>
      <c r="AJ62" s="90" t="s">
        <v>356</v>
      </c>
      <c r="AK62" s="90" t="s">
        <v>357</v>
      </c>
      <c r="AL62" s="45"/>
      <c r="AM62" s="90" t="s">
        <v>355</v>
      </c>
      <c r="AN62" s="90" t="s">
        <v>356</v>
      </c>
      <c r="AO62" s="90" t="s">
        <v>357</v>
      </c>
      <c r="AP62" s="45"/>
      <c r="AQ62" s="90" t="s">
        <v>355</v>
      </c>
      <c r="AR62" s="90" t="s">
        <v>356</v>
      </c>
      <c r="AS62" s="90" t="s">
        <v>357</v>
      </c>
      <c r="AT62" s="74"/>
      <c r="AU62" s="79" t="s">
        <v>355</v>
      </c>
      <c r="AV62" s="79" t="s">
        <v>356</v>
      </c>
      <c r="AW62" s="79" t="s">
        <v>357</v>
      </c>
      <c r="AX62" s="74"/>
      <c r="AY62" s="79" t="s">
        <v>355</v>
      </c>
      <c r="AZ62" s="79" t="s">
        <v>356</v>
      </c>
      <c r="BA62" s="79" t="s">
        <v>357</v>
      </c>
      <c r="BB62" s="74"/>
      <c r="BC62" s="79" t="s">
        <v>355</v>
      </c>
      <c r="BD62" s="79" t="s">
        <v>356</v>
      </c>
      <c r="BE62" s="79" t="s">
        <v>357</v>
      </c>
      <c r="BF62" s="74"/>
      <c r="BG62" s="79" t="s">
        <v>355</v>
      </c>
      <c r="BH62" s="79" t="s">
        <v>356</v>
      </c>
      <c r="BI62" s="79" t="s">
        <v>357</v>
      </c>
      <c r="BJ62" s="74"/>
      <c r="BK62" s="79" t="s">
        <v>355</v>
      </c>
      <c r="BL62" s="79" t="s">
        <v>356</v>
      </c>
      <c r="BM62" s="79" t="s">
        <v>357</v>
      </c>
      <c r="BN62" s="74"/>
      <c r="BO62" s="79" t="s">
        <v>355</v>
      </c>
      <c r="BP62" s="79" t="s">
        <v>356</v>
      </c>
      <c r="BQ62" s="79" t="s">
        <v>357</v>
      </c>
      <c r="BR62" s="74"/>
      <c r="BS62" s="79" t="s">
        <v>355</v>
      </c>
      <c r="BT62" s="79" t="s">
        <v>356</v>
      </c>
      <c r="BU62" s="79" t="s">
        <v>357</v>
      </c>
      <c r="BV62" s="74"/>
      <c r="BW62" s="79" t="s">
        <v>355</v>
      </c>
      <c r="BX62" s="79" t="s">
        <v>356</v>
      </c>
      <c r="BY62" s="79" t="s">
        <v>357</v>
      </c>
      <c r="BZ62" s="74"/>
      <c r="CA62" s="79" t="s">
        <v>355</v>
      </c>
      <c r="CB62" s="79" t="s">
        <v>356</v>
      </c>
      <c r="CC62" s="79" t="s">
        <v>357</v>
      </c>
      <c r="CD62" s="74"/>
      <c r="CE62" s="79" t="s">
        <v>355</v>
      </c>
      <c r="CF62" s="79" t="s">
        <v>356</v>
      </c>
      <c r="CG62" s="79" t="s">
        <v>357</v>
      </c>
      <c r="CH62" s="74"/>
      <c r="CI62" s="79" t="s">
        <v>355</v>
      </c>
      <c r="CJ62" s="79" t="s">
        <v>356</v>
      </c>
      <c r="CK62" s="79" t="s">
        <v>357</v>
      </c>
      <c r="CL62" s="74"/>
      <c r="CM62" s="79" t="s">
        <v>355</v>
      </c>
      <c r="CN62" s="79" t="s">
        <v>356</v>
      </c>
      <c r="CO62" s="79" t="s">
        <v>357</v>
      </c>
      <c r="CP62" s="74"/>
      <c r="CQ62" s="79" t="s">
        <v>355</v>
      </c>
      <c r="CR62" s="79" t="s">
        <v>356</v>
      </c>
      <c r="CS62" s="79" t="s">
        <v>357</v>
      </c>
      <c r="CT62" s="74"/>
      <c r="CU62" s="79" t="s">
        <v>355</v>
      </c>
      <c r="CV62" s="79" t="s">
        <v>356</v>
      </c>
      <c r="CW62" s="79" t="s">
        <v>357</v>
      </c>
      <c r="CX62" s="95"/>
      <c r="CY62" s="93" t="s">
        <v>355</v>
      </c>
      <c r="CZ62" s="93" t="s">
        <v>356</v>
      </c>
      <c r="DA62" s="93" t="s">
        <v>357</v>
      </c>
      <c r="DB62" s="57"/>
      <c r="DC62" s="93" t="s">
        <v>355</v>
      </c>
      <c r="DD62" s="93" t="s">
        <v>356</v>
      </c>
      <c r="DE62" s="93" t="s">
        <v>357</v>
      </c>
      <c r="DF62" s="95"/>
      <c r="DG62" s="93" t="s">
        <v>355</v>
      </c>
      <c r="DH62" s="93" t="s">
        <v>356</v>
      </c>
      <c r="DI62" s="93" t="s">
        <v>357</v>
      </c>
      <c r="DJ62" s="95"/>
      <c r="DK62" s="93" t="s">
        <v>355</v>
      </c>
      <c r="DL62" s="93" t="s">
        <v>356</v>
      </c>
      <c r="DM62" s="93" t="s">
        <v>357</v>
      </c>
      <c r="DN62" s="95"/>
      <c r="DO62" s="93" t="s">
        <v>355</v>
      </c>
      <c r="DP62" s="93" t="s">
        <v>356</v>
      </c>
      <c r="DQ62" s="93" t="s">
        <v>357</v>
      </c>
      <c r="DR62" s="95"/>
      <c r="DS62" s="93" t="s">
        <v>355</v>
      </c>
      <c r="DT62" s="93" t="s">
        <v>356</v>
      </c>
      <c r="DU62" s="93" t="s">
        <v>357</v>
      </c>
      <c r="DV62" s="95"/>
      <c r="DW62" s="93" t="s">
        <v>355</v>
      </c>
      <c r="DX62" s="93" t="s">
        <v>356</v>
      </c>
      <c r="DY62" s="93" t="s">
        <v>357</v>
      </c>
      <c r="DZ62" s="95"/>
      <c r="EA62" s="93" t="s">
        <v>355</v>
      </c>
      <c r="EB62" s="93" t="s">
        <v>356</v>
      </c>
      <c r="EC62" s="93" t="s">
        <v>357</v>
      </c>
      <c r="ED62" s="95"/>
      <c r="EE62" s="93" t="s">
        <v>355</v>
      </c>
      <c r="EF62" s="93" t="s">
        <v>356</v>
      </c>
      <c r="EG62" s="93" t="s">
        <v>357</v>
      </c>
      <c r="EH62" s="95"/>
      <c r="EI62" s="93" t="s">
        <v>355</v>
      </c>
      <c r="EJ62" s="93" t="s">
        <v>356</v>
      </c>
      <c r="EK62" s="93" t="s">
        <v>357</v>
      </c>
      <c r="EL62" s="93"/>
      <c r="EM62" s="93" t="s">
        <v>355</v>
      </c>
      <c r="EN62" s="93" t="s">
        <v>356</v>
      </c>
      <c r="EO62" s="93" t="s">
        <v>357</v>
      </c>
      <c r="EP62" s="57"/>
      <c r="EQ62" s="93" t="s">
        <v>355</v>
      </c>
      <c r="ER62" s="93" t="s">
        <v>356</v>
      </c>
      <c r="ES62" s="93" t="s">
        <v>357</v>
      </c>
      <c r="ET62" s="57"/>
      <c r="EU62" s="93" t="s">
        <v>355</v>
      </c>
      <c r="EV62" s="93" t="s">
        <v>356</v>
      </c>
      <c r="EW62" s="93" t="s">
        <v>357</v>
      </c>
      <c r="EX62" s="57"/>
      <c r="EY62" s="93" t="s">
        <v>355</v>
      </c>
      <c r="EZ62" s="93" t="s">
        <v>356</v>
      </c>
      <c r="FA62" s="93" t="s">
        <v>357</v>
      </c>
      <c r="FB62" s="95"/>
      <c r="FC62" s="93" t="s">
        <v>355</v>
      </c>
      <c r="FD62" s="93" t="s">
        <v>356</v>
      </c>
      <c r="FE62" s="93" t="s">
        <v>357</v>
      </c>
      <c r="FF62" s="95"/>
      <c r="FG62" s="93" t="s">
        <v>355</v>
      </c>
      <c r="FH62" s="93" t="s">
        <v>356</v>
      </c>
      <c r="FI62" s="93" t="s">
        <v>357</v>
      </c>
      <c r="FJ62" s="95"/>
      <c r="FK62" s="93" t="s">
        <v>355</v>
      </c>
      <c r="FL62" s="93" t="s">
        <v>356</v>
      </c>
      <c r="FM62" s="93" t="s">
        <v>357</v>
      </c>
      <c r="FN62" s="135"/>
      <c r="FO62" s="136" t="s">
        <v>355</v>
      </c>
      <c r="FP62" s="136" t="s">
        <v>356</v>
      </c>
      <c r="FQ62" s="136" t="s">
        <v>357</v>
      </c>
    </row>
    <row r="63" spans="1:173" s="6" customFormat="1" x14ac:dyDescent="0.25">
      <c r="A63" s="52" t="s">
        <v>115</v>
      </c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77"/>
      <c r="AU63" s="77"/>
      <c r="AV63" s="77"/>
      <c r="AW63" s="77"/>
      <c r="AX63" s="77"/>
      <c r="AY63" s="77"/>
      <c r="AZ63" s="77"/>
      <c r="BA63" s="77"/>
      <c r="BB63" s="77"/>
      <c r="BC63" s="77"/>
      <c r="BD63" s="77"/>
      <c r="BE63" s="77"/>
      <c r="BF63" s="77"/>
      <c r="BG63" s="77"/>
      <c r="BH63" s="77"/>
      <c r="BI63" s="77"/>
      <c r="BJ63" s="77"/>
      <c r="BK63" s="77"/>
      <c r="BL63" s="77"/>
      <c r="BM63" s="77"/>
      <c r="BN63" s="77"/>
      <c r="BO63" s="77"/>
      <c r="BP63" s="77"/>
      <c r="BQ63" s="77"/>
      <c r="BR63" s="77"/>
      <c r="BS63" s="77"/>
      <c r="BT63" s="77"/>
      <c r="BU63" s="77"/>
      <c r="BV63" s="77"/>
      <c r="BW63" s="77"/>
      <c r="BX63" s="77"/>
      <c r="BY63" s="77"/>
      <c r="BZ63" s="77"/>
      <c r="CA63" s="77"/>
      <c r="CB63" s="77"/>
      <c r="CC63" s="77"/>
      <c r="CD63" s="77"/>
      <c r="CE63" s="77"/>
      <c r="CF63" s="77"/>
      <c r="CG63" s="77"/>
      <c r="CH63" s="77"/>
      <c r="CI63" s="77"/>
      <c r="CJ63" s="77"/>
      <c r="CK63" s="77"/>
      <c r="CL63" s="77"/>
      <c r="CM63" s="77"/>
      <c r="CN63" s="77"/>
      <c r="CO63" s="77"/>
      <c r="CP63" s="77"/>
      <c r="CQ63" s="77"/>
      <c r="CR63" s="77"/>
      <c r="CS63" s="77"/>
      <c r="CT63" s="77"/>
      <c r="CU63" s="77"/>
      <c r="CV63" s="77"/>
      <c r="CW63" s="77"/>
      <c r="CX63" s="96">
        <v>1</v>
      </c>
      <c r="CY63" s="96"/>
      <c r="CZ63" s="96"/>
      <c r="DA63" s="96"/>
      <c r="DB63" s="58"/>
      <c r="DC63" s="96"/>
      <c r="DD63" s="96"/>
      <c r="DE63" s="96"/>
      <c r="DF63" s="96"/>
      <c r="DG63" s="96"/>
      <c r="DH63" s="96"/>
      <c r="DI63" s="96"/>
      <c r="DJ63" s="96"/>
      <c r="DK63" s="96"/>
      <c r="DL63" s="96"/>
      <c r="DM63" s="96"/>
      <c r="DN63" s="96"/>
      <c r="DO63" s="96"/>
      <c r="DP63" s="96"/>
      <c r="DQ63" s="96"/>
      <c r="DR63" s="96">
        <v>2.6674099999999998</v>
      </c>
      <c r="DS63" s="96"/>
      <c r="DT63" s="96"/>
      <c r="DU63" s="96"/>
      <c r="DV63" s="96">
        <f t="shared" si="8"/>
        <v>6.0787999999999993</v>
      </c>
      <c r="DW63" s="96">
        <v>0.43419999999999997</v>
      </c>
      <c r="DX63" s="96"/>
      <c r="DY63" s="96"/>
      <c r="DZ63" s="96"/>
      <c r="EA63" s="96"/>
      <c r="EB63" s="96"/>
      <c r="EC63" s="96"/>
      <c r="ED63" s="96"/>
      <c r="EE63" s="96"/>
      <c r="EF63" s="96"/>
      <c r="EG63" s="96"/>
      <c r="EH63" s="96">
        <v>0.36523600000000001</v>
      </c>
      <c r="EI63" s="96"/>
      <c r="EJ63" s="96"/>
      <c r="EK63" s="96"/>
      <c r="EL63" s="96"/>
      <c r="EM63" s="96"/>
      <c r="EN63" s="96"/>
      <c r="EO63" s="96"/>
      <c r="EP63" s="58"/>
      <c r="EQ63" s="96"/>
      <c r="ER63" s="96"/>
      <c r="ES63" s="96"/>
      <c r="ET63" s="58"/>
      <c r="EU63" s="96"/>
      <c r="EV63" s="96"/>
      <c r="EW63" s="96"/>
      <c r="EX63" s="58"/>
      <c r="EY63" s="96"/>
      <c r="EZ63" s="96"/>
      <c r="FA63" s="96"/>
      <c r="FB63" s="96"/>
      <c r="FC63" s="96"/>
      <c r="FD63" s="96"/>
      <c r="FE63" s="96"/>
      <c r="FF63" s="96"/>
      <c r="FG63" s="96"/>
      <c r="FH63" s="96"/>
      <c r="FI63" s="96"/>
      <c r="FJ63" s="96"/>
      <c r="FK63" s="96"/>
      <c r="FL63" s="96"/>
      <c r="FM63" s="96"/>
      <c r="FN63" s="140"/>
      <c r="FO63" s="140"/>
      <c r="FP63" s="140"/>
      <c r="FQ63" s="140"/>
    </row>
    <row r="64" spans="1:173" ht="15.75" thickBot="1" x14ac:dyDescent="0.3">
      <c r="A64" s="50" t="s">
        <v>597</v>
      </c>
      <c r="B64" s="45"/>
      <c r="C64" s="90" t="s">
        <v>355</v>
      </c>
      <c r="D64" s="90" t="s">
        <v>356</v>
      </c>
      <c r="E64" s="90" t="s">
        <v>357</v>
      </c>
      <c r="F64" s="45"/>
      <c r="G64" s="90" t="s">
        <v>355</v>
      </c>
      <c r="H64" s="90" t="s">
        <v>356</v>
      </c>
      <c r="I64" s="90" t="s">
        <v>357</v>
      </c>
      <c r="J64" s="45"/>
      <c r="K64" s="90" t="s">
        <v>355</v>
      </c>
      <c r="L64" s="90" t="s">
        <v>356</v>
      </c>
      <c r="M64" s="90" t="s">
        <v>357</v>
      </c>
      <c r="N64" s="45"/>
      <c r="O64" s="90" t="s">
        <v>355</v>
      </c>
      <c r="P64" s="90" t="s">
        <v>356</v>
      </c>
      <c r="Q64" s="90" t="s">
        <v>357</v>
      </c>
      <c r="R64" s="45"/>
      <c r="S64" s="90" t="s">
        <v>355</v>
      </c>
      <c r="T64" s="90" t="s">
        <v>356</v>
      </c>
      <c r="U64" s="90" t="s">
        <v>357</v>
      </c>
      <c r="V64" s="45"/>
      <c r="W64" s="90" t="s">
        <v>355</v>
      </c>
      <c r="X64" s="90" t="s">
        <v>356</v>
      </c>
      <c r="Y64" s="90" t="s">
        <v>357</v>
      </c>
      <c r="Z64" s="45"/>
      <c r="AA64" s="90" t="s">
        <v>355</v>
      </c>
      <c r="AB64" s="90" t="s">
        <v>356</v>
      </c>
      <c r="AC64" s="90" t="s">
        <v>357</v>
      </c>
      <c r="AD64" s="45"/>
      <c r="AE64" s="90" t="s">
        <v>355</v>
      </c>
      <c r="AF64" s="90" t="s">
        <v>356</v>
      </c>
      <c r="AG64" s="90" t="s">
        <v>357</v>
      </c>
      <c r="AH64" s="45"/>
      <c r="AI64" s="90" t="s">
        <v>355</v>
      </c>
      <c r="AJ64" s="90" t="s">
        <v>356</v>
      </c>
      <c r="AK64" s="90" t="s">
        <v>357</v>
      </c>
      <c r="AL64" s="45"/>
      <c r="AM64" s="90" t="s">
        <v>355</v>
      </c>
      <c r="AN64" s="90" t="s">
        <v>356</v>
      </c>
      <c r="AO64" s="90" t="s">
        <v>357</v>
      </c>
      <c r="AP64" s="45"/>
      <c r="AQ64" s="90" t="s">
        <v>355</v>
      </c>
      <c r="AR64" s="90" t="s">
        <v>356</v>
      </c>
      <c r="AS64" s="90" t="s">
        <v>357</v>
      </c>
      <c r="AT64" s="74"/>
      <c r="AU64" s="79" t="s">
        <v>355</v>
      </c>
      <c r="AV64" s="79" t="s">
        <v>356</v>
      </c>
      <c r="AW64" s="79" t="s">
        <v>357</v>
      </c>
      <c r="AX64" s="74"/>
      <c r="AY64" s="79" t="s">
        <v>355</v>
      </c>
      <c r="AZ64" s="79" t="s">
        <v>356</v>
      </c>
      <c r="BA64" s="79" t="s">
        <v>357</v>
      </c>
      <c r="BB64" s="74"/>
      <c r="BC64" s="79" t="s">
        <v>355</v>
      </c>
      <c r="BD64" s="79" t="s">
        <v>356</v>
      </c>
      <c r="BE64" s="79" t="s">
        <v>357</v>
      </c>
      <c r="BF64" s="74"/>
      <c r="BG64" s="79" t="s">
        <v>355</v>
      </c>
      <c r="BH64" s="79" t="s">
        <v>356</v>
      </c>
      <c r="BI64" s="79" t="s">
        <v>357</v>
      </c>
      <c r="BJ64" s="74"/>
      <c r="BK64" s="79" t="s">
        <v>355</v>
      </c>
      <c r="BL64" s="79" t="s">
        <v>356</v>
      </c>
      <c r="BM64" s="79" t="s">
        <v>357</v>
      </c>
      <c r="BN64" s="74"/>
      <c r="BO64" s="79" t="s">
        <v>355</v>
      </c>
      <c r="BP64" s="79" t="s">
        <v>356</v>
      </c>
      <c r="BQ64" s="79" t="s">
        <v>357</v>
      </c>
      <c r="BR64" s="74"/>
      <c r="BS64" s="79" t="s">
        <v>355</v>
      </c>
      <c r="BT64" s="79" t="s">
        <v>356</v>
      </c>
      <c r="BU64" s="79" t="s">
        <v>357</v>
      </c>
      <c r="BV64" s="74"/>
      <c r="BW64" s="79" t="s">
        <v>355</v>
      </c>
      <c r="BX64" s="79" t="s">
        <v>356</v>
      </c>
      <c r="BY64" s="79" t="s">
        <v>357</v>
      </c>
      <c r="BZ64" s="74"/>
      <c r="CA64" s="79" t="s">
        <v>355</v>
      </c>
      <c r="CB64" s="79" t="s">
        <v>356</v>
      </c>
      <c r="CC64" s="79" t="s">
        <v>357</v>
      </c>
      <c r="CD64" s="74"/>
      <c r="CE64" s="79" t="s">
        <v>355</v>
      </c>
      <c r="CF64" s="79" t="s">
        <v>356</v>
      </c>
      <c r="CG64" s="79" t="s">
        <v>357</v>
      </c>
      <c r="CH64" s="74"/>
      <c r="CI64" s="79" t="s">
        <v>355</v>
      </c>
      <c r="CJ64" s="79" t="s">
        <v>356</v>
      </c>
      <c r="CK64" s="79" t="s">
        <v>357</v>
      </c>
      <c r="CL64" s="74"/>
      <c r="CM64" s="79" t="s">
        <v>355</v>
      </c>
      <c r="CN64" s="79" t="s">
        <v>356</v>
      </c>
      <c r="CO64" s="79" t="s">
        <v>357</v>
      </c>
      <c r="CP64" s="74"/>
      <c r="CQ64" s="79" t="s">
        <v>355</v>
      </c>
      <c r="CR64" s="79" t="s">
        <v>356</v>
      </c>
      <c r="CS64" s="79" t="s">
        <v>357</v>
      </c>
      <c r="CT64" s="74"/>
      <c r="CU64" s="79" t="s">
        <v>355</v>
      </c>
      <c r="CV64" s="79" t="s">
        <v>356</v>
      </c>
      <c r="CW64" s="79" t="s">
        <v>357</v>
      </c>
      <c r="CX64" s="95"/>
      <c r="CY64" s="93" t="s">
        <v>355</v>
      </c>
      <c r="CZ64" s="93" t="s">
        <v>356</v>
      </c>
      <c r="DA64" s="93" t="s">
        <v>357</v>
      </c>
      <c r="DB64" s="57"/>
      <c r="DC64" s="93" t="s">
        <v>355</v>
      </c>
      <c r="DD64" s="93" t="s">
        <v>356</v>
      </c>
      <c r="DE64" s="93" t="s">
        <v>357</v>
      </c>
      <c r="DF64" s="95"/>
      <c r="DG64" s="93" t="s">
        <v>355</v>
      </c>
      <c r="DH64" s="93" t="s">
        <v>356</v>
      </c>
      <c r="DI64" s="93" t="s">
        <v>357</v>
      </c>
      <c r="DJ64" s="95"/>
      <c r="DK64" s="93" t="s">
        <v>355</v>
      </c>
      <c r="DL64" s="93" t="s">
        <v>356</v>
      </c>
      <c r="DM64" s="93" t="s">
        <v>357</v>
      </c>
      <c r="DN64" s="95"/>
      <c r="DO64" s="93" t="s">
        <v>355</v>
      </c>
      <c r="DP64" s="93" t="s">
        <v>356</v>
      </c>
      <c r="DQ64" s="93" t="s">
        <v>357</v>
      </c>
      <c r="DR64" s="95"/>
      <c r="DS64" s="93" t="s">
        <v>355</v>
      </c>
      <c r="DT64" s="93" t="s">
        <v>356</v>
      </c>
      <c r="DU64" s="93" t="s">
        <v>357</v>
      </c>
      <c r="DV64" s="95"/>
      <c r="DW64" s="93" t="s">
        <v>355</v>
      </c>
      <c r="DX64" s="93" t="s">
        <v>356</v>
      </c>
      <c r="DY64" s="93" t="s">
        <v>357</v>
      </c>
      <c r="DZ64" s="95"/>
      <c r="EA64" s="93" t="s">
        <v>355</v>
      </c>
      <c r="EB64" s="93" t="s">
        <v>356</v>
      </c>
      <c r="EC64" s="93" t="s">
        <v>357</v>
      </c>
      <c r="ED64" s="95"/>
      <c r="EE64" s="93" t="s">
        <v>355</v>
      </c>
      <c r="EF64" s="93" t="s">
        <v>356</v>
      </c>
      <c r="EG64" s="93" t="s">
        <v>357</v>
      </c>
      <c r="EH64" s="95"/>
      <c r="EI64" s="93" t="s">
        <v>355</v>
      </c>
      <c r="EJ64" s="93" t="s">
        <v>356</v>
      </c>
      <c r="EK64" s="93" t="s">
        <v>357</v>
      </c>
      <c r="EL64" s="93"/>
      <c r="EM64" s="93" t="s">
        <v>355</v>
      </c>
      <c r="EN64" s="93" t="s">
        <v>356</v>
      </c>
      <c r="EO64" s="93" t="s">
        <v>357</v>
      </c>
      <c r="EP64" s="57"/>
      <c r="EQ64" s="93" t="s">
        <v>355</v>
      </c>
      <c r="ER64" s="93" t="s">
        <v>356</v>
      </c>
      <c r="ES64" s="93" t="s">
        <v>357</v>
      </c>
      <c r="ET64" s="57"/>
      <c r="EU64" s="93" t="s">
        <v>355</v>
      </c>
      <c r="EV64" s="93" t="s">
        <v>356</v>
      </c>
      <c r="EW64" s="93" t="s">
        <v>357</v>
      </c>
      <c r="EX64" s="57"/>
      <c r="EY64" s="93" t="s">
        <v>355</v>
      </c>
      <c r="EZ64" s="93" t="s">
        <v>356</v>
      </c>
      <c r="FA64" s="93" t="s">
        <v>357</v>
      </c>
      <c r="FB64" s="95"/>
      <c r="FC64" s="93" t="s">
        <v>355</v>
      </c>
      <c r="FD64" s="93" t="s">
        <v>356</v>
      </c>
      <c r="FE64" s="93" t="s">
        <v>357</v>
      </c>
      <c r="FF64" s="95"/>
      <c r="FG64" s="93" t="s">
        <v>355</v>
      </c>
      <c r="FH64" s="93" t="s">
        <v>356</v>
      </c>
      <c r="FI64" s="93" t="s">
        <v>357</v>
      </c>
      <c r="FJ64" s="95"/>
      <c r="FK64" s="93" t="s">
        <v>355</v>
      </c>
      <c r="FL64" s="93" t="s">
        <v>356</v>
      </c>
      <c r="FM64" s="93" t="s">
        <v>357</v>
      </c>
      <c r="FN64" s="135"/>
      <c r="FO64" s="136" t="s">
        <v>355</v>
      </c>
      <c r="FP64" s="136" t="s">
        <v>356</v>
      </c>
      <c r="FQ64" s="136" t="s">
        <v>357</v>
      </c>
    </row>
    <row r="65" spans="1:173" s="6" customFormat="1" x14ac:dyDescent="0.25">
      <c r="A65" s="52" t="s">
        <v>115</v>
      </c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87"/>
      <c r="AS65" s="8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  <c r="BM65" s="77"/>
      <c r="BN65" s="77"/>
      <c r="BO65" s="77"/>
      <c r="BP65" s="77"/>
      <c r="BQ65" s="77"/>
      <c r="BR65" s="77"/>
      <c r="BS65" s="77"/>
      <c r="BT65" s="77"/>
      <c r="BU65" s="77"/>
      <c r="BV65" s="77"/>
      <c r="BW65" s="77"/>
      <c r="BX65" s="77"/>
      <c r="BY65" s="77"/>
      <c r="BZ65" s="77"/>
      <c r="CA65" s="77"/>
      <c r="CB65" s="77"/>
      <c r="CC65" s="77"/>
      <c r="CD65" s="77"/>
      <c r="CE65" s="77"/>
      <c r="CF65" s="77"/>
      <c r="CG65" s="77"/>
      <c r="CH65" s="77"/>
      <c r="CI65" s="77"/>
      <c r="CJ65" s="77"/>
      <c r="CK65" s="77"/>
      <c r="CL65" s="77"/>
      <c r="CM65" s="77"/>
      <c r="CN65" s="77"/>
      <c r="CO65" s="77"/>
      <c r="CP65" s="77"/>
      <c r="CQ65" s="77"/>
      <c r="CR65" s="77"/>
      <c r="CS65" s="77"/>
      <c r="CT65" s="77"/>
      <c r="CU65" s="77"/>
      <c r="CV65" s="77"/>
      <c r="CW65" s="77"/>
      <c r="CX65" s="96">
        <v>1</v>
      </c>
      <c r="CY65" s="96"/>
      <c r="CZ65" s="96"/>
      <c r="DA65" s="96"/>
      <c r="DB65" s="58"/>
      <c r="DC65" s="96"/>
      <c r="DD65" s="96"/>
      <c r="DE65" s="96"/>
      <c r="DF65" s="96"/>
      <c r="DG65" s="96"/>
      <c r="DH65" s="96"/>
      <c r="DI65" s="96"/>
      <c r="DJ65" s="96"/>
      <c r="DK65" s="96"/>
      <c r="DL65" s="96"/>
      <c r="DM65" s="96"/>
      <c r="DN65" s="96"/>
      <c r="DO65" s="96"/>
      <c r="DP65" s="96"/>
      <c r="DQ65" s="96"/>
      <c r="DR65" s="96">
        <v>1.9110400000000001</v>
      </c>
      <c r="DS65" s="96"/>
      <c r="DT65" s="96"/>
      <c r="DU65" s="96"/>
      <c r="DV65" s="96">
        <f t="shared" si="8"/>
        <v>5.8268000000000004</v>
      </c>
      <c r="DW65" s="96">
        <v>0.41620000000000001</v>
      </c>
      <c r="DX65" s="96"/>
      <c r="DY65" s="96"/>
      <c r="DZ65" s="96"/>
      <c r="EA65" s="96"/>
      <c r="EB65" s="96"/>
      <c r="EC65" s="96"/>
      <c r="ED65" s="96"/>
      <c r="EE65" s="96"/>
      <c r="EF65" s="96"/>
      <c r="EG65" s="96"/>
      <c r="EH65" s="96">
        <v>0.35751100000000002</v>
      </c>
      <c r="EI65" s="96"/>
      <c r="EJ65" s="96"/>
      <c r="EK65" s="96"/>
      <c r="EL65" s="96"/>
      <c r="EM65" s="96"/>
      <c r="EN65" s="96"/>
      <c r="EO65" s="96"/>
      <c r="EP65" s="58"/>
      <c r="EQ65" s="96"/>
      <c r="ER65" s="96"/>
      <c r="ES65" s="96"/>
      <c r="ET65" s="58"/>
      <c r="EU65" s="96"/>
      <c r="EV65" s="96"/>
      <c r="EW65" s="96"/>
      <c r="EX65" s="58"/>
      <c r="EY65" s="96"/>
      <c r="EZ65" s="96"/>
      <c r="FA65" s="96"/>
      <c r="FB65" s="96"/>
      <c r="FC65" s="96"/>
      <c r="FD65" s="96"/>
      <c r="FE65" s="96"/>
      <c r="FF65" s="96"/>
      <c r="FG65" s="96"/>
      <c r="FH65" s="96"/>
      <c r="FI65" s="96"/>
      <c r="FJ65" s="96"/>
      <c r="FK65" s="96"/>
      <c r="FL65" s="96"/>
      <c r="FM65" s="96"/>
      <c r="FN65" s="140"/>
      <c r="FO65" s="140"/>
      <c r="FP65" s="140"/>
      <c r="FQ65" s="140"/>
    </row>
    <row r="66" spans="1:173" ht="15.75" thickBot="1" x14ac:dyDescent="0.3">
      <c r="A66" s="50" t="s">
        <v>594</v>
      </c>
      <c r="B66" s="45"/>
      <c r="C66" s="90" t="s">
        <v>355</v>
      </c>
      <c r="D66" s="90" t="s">
        <v>356</v>
      </c>
      <c r="E66" s="90" t="s">
        <v>357</v>
      </c>
      <c r="F66" s="45"/>
      <c r="G66" s="90" t="s">
        <v>355</v>
      </c>
      <c r="H66" s="90" t="s">
        <v>356</v>
      </c>
      <c r="I66" s="90" t="s">
        <v>357</v>
      </c>
      <c r="J66" s="45"/>
      <c r="K66" s="90" t="s">
        <v>355</v>
      </c>
      <c r="L66" s="90" t="s">
        <v>356</v>
      </c>
      <c r="M66" s="90" t="s">
        <v>357</v>
      </c>
      <c r="N66" s="45"/>
      <c r="O66" s="90" t="s">
        <v>355</v>
      </c>
      <c r="P66" s="90" t="s">
        <v>356</v>
      </c>
      <c r="Q66" s="90" t="s">
        <v>357</v>
      </c>
      <c r="R66" s="45"/>
      <c r="S66" s="90" t="s">
        <v>355</v>
      </c>
      <c r="T66" s="90" t="s">
        <v>356</v>
      </c>
      <c r="U66" s="90" t="s">
        <v>357</v>
      </c>
      <c r="V66" s="45"/>
      <c r="W66" s="90" t="s">
        <v>355</v>
      </c>
      <c r="X66" s="90" t="s">
        <v>356</v>
      </c>
      <c r="Y66" s="90" t="s">
        <v>357</v>
      </c>
      <c r="Z66" s="45"/>
      <c r="AA66" s="90" t="s">
        <v>355</v>
      </c>
      <c r="AB66" s="90" t="s">
        <v>356</v>
      </c>
      <c r="AC66" s="90" t="s">
        <v>357</v>
      </c>
      <c r="AD66" s="45"/>
      <c r="AE66" s="90" t="s">
        <v>355</v>
      </c>
      <c r="AF66" s="90" t="s">
        <v>356</v>
      </c>
      <c r="AG66" s="90" t="s">
        <v>357</v>
      </c>
      <c r="AH66" s="45"/>
      <c r="AI66" s="90" t="s">
        <v>355</v>
      </c>
      <c r="AJ66" s="90" t="s">
        <v>356</v>
      </c>
      <c r="AK66" s="90" t="s">
        <v>357</v>
      </c>
      <c r="AL66" s="45"/>
      <c r="AM66" s="90" t="s">
        <v>355</v>
      </c>
      <c r="AN66" s="90" t="s">
        <v>356</v>
      </c>
      <c r="AO66" s="90" t="s">
        <v>357</v>
      </c>
      <c r="AP66" s="45"/>
      <c r="AQ66" s="90" t="s">
        <v>355</v>
      </c>
      <c r="AR66" s="90" t="s">
        <v>356</v>
      </c>
      <c r="AS66" s="90" t="s">
        <v>357</v>
      </c>
      <c r="AT66" s="74"/>
      <c r="AU66" s="79" t="s">
        <v>355</v>
      </c>
      <c r="AV66" s="79" t="s">
        <v>356</v>
      </c>
      <c r="AW66" s="79" t="s">
        <v>357</v>
      </c>
      <c r="AX66" s="74"/>
      <c r="AY66" s="79" t="s">
        <v>355</v>
      </c>
      <c r="AZ66" s="79" t="s">
        <v>356</v>
      </c>
      <c r="BA66" s="79" t="s">
        <v>357</v>
      </c>
      <c r="BB66" s="74"/>
      <c r="BC66" s="79" t="s">
        <v>355</v>
      </c>
      <c r="BD66" s="79" t="s">
        <v>356</v>
      </c>
      <c r="BE66" s="79" t="s">
        <v>357</v>
      </c>
      <c r="BF66" s="74"/>
      <c r="BG66" s="79" t="s">
        <v>355</v>
      </c>
      <c r="BH66" s="79" t="s">
        <v>356</v>
      </c>
      <c r="BI66" s="79" t="s">
        <v>357</v>
      </c>
      <c r="BJ66" s="74"/>
      <c r="BK66" s="79" t="s">
        <v>355</v>
      </c>
      <c r="BL66" s="79" t="s">
        <v>356</v>
      </c>
      <c r="BM66" s="79" t="s">
        <v>357</v>
      </c>
      <c r="BN66" s="74"/>
      <c r="BO66" s="79" t="s">
        <v>355</v>
      </c>
      <c r="BP66" s="79" t="s">
        <v>356</v>
      </c>
      <c r="BQ66" s="79" t="s">
        <v>357</v>
      </c>
      <c r="BR66" s="74"/>
      <c r="BS66" s="79" t="s">
        <v>355</v>
      </c>
      <c r="BT66" s="79" t="s">
        <v>356</v>
      </c>
      <c r="BU66" s="79" t="s">
        <v>357</v>
      </c>
      <c r="BV66" s="74"/>
      <c r="BW66" s="79" t="s">
        <v>355</v>
      </c>
      <c r="BX66" s="79" t="s">
        <v>356</v>
      </c>
      <c r="BY66" s="79" t="s">
        <v>357</v>
      </c>
      <c r="BZ66" s="74"/>
      <c r="CA66" s="79" t="s">
        <v>355</v>
      </c>
      <c r="CB66" s="79" t="s">
        <v>356</v>
      </c>
      <c r="CC66" s="79" t="s">
        <v>357</v>
      </c>
      <c r="CD66" s="74"/>
      <c r="CE66" s="79" t="s">
        <v>355</v>
      </c>
      <c r="CF66" s="79" t="s">
        <v>356</v>
      </c>
      <c r="CG66" s="79" t="s">
        <v>357</v>
      </c>
      <c r="CH66" s="74"/>
      <c r="CI66" s="79" t="s">
        <v>355</v>
      </c>
      <c r="CJ66" s="79" t="s">
        <v>356</v>
      </c>
      <c r="CK66" s="79" t="s">
        <v>357</v>
      </c>
      <c r="CL66" s="74"/>
      <c r="CM66" s="79" t="s">
        <v>355</v>
      </c>
      <c r="CN66" s="79" t="s">
        <v>356</v>
      </c>
      <c r="CO66" s="79" t="s">
        <v>357</v>
      </c>
      <c r="CP66" s="74"/>
      <c r="CQ66" s="79" t="s">
        <v>355</v>
      </c>
      <c r="CR66" s="79" t="s">
        <v>356</v>
      </c>
      <c r="CS66" s="79" t="s">
        <v>357</v>
      </c>
      <c r="CT66" s="74"/>
      <c r="CU66" s="79" t="s">
        <v>355</v>
      </c>
      <c r="CV66" s="79" t="s">
        <v>356</v>
      </c>
      <c r="CW66" s="79" t="s">
        <v>357</v>
      </c>
      <c r="CX66" s="95"/>
      <c r="CY66" s="93" t="s">
        <v>355</v>
      </c>
      <c r="CZ66" s="93" t="s">
        <v>356</v>
      </c>
      <c r="DA66" s="93" t="s">
        <v>357</v>
      </c>
      <c r="DB66" s="57"/>
      <c r="DC66" s="93" t="s">
        <v>355</v>
      </c>
      <c r="DD66" s="93" t="s">
        <v>356</v>
      </c>
      <c r="DE66" s="93" t="s">
        <v>357</v>
      </c>
      <c r="DF66" s="95"/>
      <c r="DG66" s="93" t="s">
        <v>355</v>
      </c>
      <c r="DH66" s="93" t="s">
        <v>356</v>
      </c>
      <c r="DI66" s="93" t="s">
        <v>357</v>
      </c>
      <c r="DJ66" s="95"/>
      <c r="DK66" s="93" t="s">
        <v>355</v>
      </c>
      <c r="DL66" s="93" t="s">
        <v>356</v>
      </c>
      <c r="DM66" s="93" t="s">
        <v>357</v>
      </c>
      <c r="DN66" s="95"/>
      <c r="DO66" s="93" t="s">
        <v>355</v>
      </c>
      <c r="DP66" s="93" t="s">
        <v>356</v>
      </c>
      <c r="DQ66" s="93" t="s">
        <v>357</v>
      </c>
      <c r="DR66" s="95"/>
      <c r="DS66" s="93" t="s">
        <v>355</v>
      </c>
      <c r="DT66" s="93" t="s">
        <v>356</v>
      </c>
      <c r="DU66" s="93" t="s">
        <v>357</v>
      </c>
      <c r="DV66" s="95"/>
      <c r="DW66" s="93" t="s">
        <v>355</v>
      </c>
      <c r="DX66" s="93" t="s">
        <v>356</v>
      </c>
      <c r="DY66" s="93" t="s">
        <v>357</v>
      </c>
      <c r="DZ66" s="95"/>
      <c r="EA66" s="93" t="s">
        <v>355</v>
      </c>
      <c r="EB66" s="93" t="s">
        <v>356</v>
      </c>
      <c r="EC66" s="93" t="s">
        <v>357</v>
      </c>
      <c r="ED66" s="95"/>
      <c r="EE66" s="93" t="s">
        <v>355</v>
      </c>
      <c r="EF66" s="93" t="s">
        <v>356</v>
      </c>
      <c r="EG66" s="93" t="s">
        <v>357</v>
      </c>
      <c r="EH66" s="95"/>
      <c r="EI66" s="93" t="s">
        <v>355</v>
      </c>
      <c r="EJ66" s="93" t="s">
        <v>356</v>
      </c>
      <c r="EK66" s="93" t="s">
        <v>357</v>
      </c>
      <c r="EL66" s="93"/>
      <c r="EM66" s="93" t="s">
        <v>355</v>
      </c>
      <c r="EN66" s="93" t="s">
        <v>356</v>
      </c>
      <c r="EO66" s="93" t="s">
        <v>357</v>
      </c>
      <c r="EP66" s="57"/>
      <c r="EQ66" s="93" t="s">
        <v>355</v>
      </c>
      <c r="ER66" s="93" t="s">
        <v>356</v>
      </c>
      <c r="ES66" s="93" t="s">
        <v>357</v>
      </c>
      <c r="ET66" s="57"/>
      <c r="EU66" s="93" t="s">
        <v>355</v>
      </c>
      <c r="EV66" s="93" t="s">
        <v>356</v>
      </c>
      <c r="EW66" s="93" t="s">
        <v>357</v>
      </c>
      <c r="EX66" s="57"/>
      <c r="EY66" s="93" t="s">
        <v>355</v>
      </c>
      <c r="EZ66" s="93" t="s">
        <v>356</v>
      </c>
      <c r="FA66" s="93" t="s">
        <v>357</v>
      </c>
      <c r="FB66" s="95"/>
      <c r="FC66" s="93" t="s">
        <v>355</v>
      </c>
      <c r="FD66" s="93" t="s">
        <v>356</v>
      </c>
      <c r="FE66" s="93" t="s">
        <v>357</v>
      </c>
      <c r="FF66" s="95"/>
      <c r="FG66" s="93" t="s">
        <v>355</v>
      </c>
      <c r="FH66" s="93" t="s">
        <v>356</v>
      </c>
      <c r="FI66" s="93" t="s">
        <v>357</v>
      </c>
      <c r="FJ66" s="95"/>
      <c r="FK66" s="93" t="s">
        <v>355</v>
      </c>
      <c r="FL66" s="93" t="s">
        <v>356</v>
      </c>
      <c r="FM66" s="93" t="s">
        <v>357</v>
      </c>
      <c r="FN66" s="135"/>
      <c r="FO66" s="136" t="s">
        <v>355</v>
      </c>
      <c r="FP66" s="136" t="s">
        <v>356</v>
      </c>
      <c r="FQ66" s="136" t="s">
        <v>357</v>
      </c>
    </row>
    <row r="67" spans="1:173" s="6" customFormat="1" x14ac:dyDescent="0.25">
      <c r="A67" s="52" t="s">
        <v>115</v>
      </c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77"/>
      <c r="AU67" s="77"/>
      <c r="AV67" s="77"/>
      <c r="AW67" s="77"/>
      <c r="AX67" s="77"/>
      <c r="AY67" s="77"/>
      <c r="AZ67" s="77"/>
      <c r="BA67" s="77"/>
      <c r="BB67" s="77"/>
      <c r="BC67" s="77"/>
      <c r="BD67" s="77"/>
      <c r="BE67" s="77"/>
      <c r="BF67" s="77"/>
      <c r="BG67" s="77"/>
      <c r="BH67" s="77"/>
      <c r="BI67" s="77"/>
      <c r="BJ67" s="77"/>
      <c r="BK67" s="77"/>
      <c r="BL67" s="77"/>
      <c r="BM67" s="77"/>
      <c r="BN67" s="77"/>
      <c r="BO67" s="77"/>
      <c r="BP67" s="77"/>
      <c r="BQ67" s="77"/>
      <c r="BR67" s="77"/>
      <c r="BS67" s="77"/>
      <c r="BT67" s="77"/>
      <c r="BU67" s="77"/>
      <c r="BV67" s="77"/>
      <c r="BW67" s="77"/>
      <c r="BX67" s="77"/>
      <c r="BY67" s="77"/>
      <c r="BZ67" s="77"/>
      <c r="CA67" s="77"/>
      <c r="CB67" s="77"/>
      <c r="CC67" s="77"/>
      <c r="CD67" s="77"/>
      <c r="CE67" s="77"/>
      <c r="CF67" s="77"/>
      <c r="CG67" s="77"/>
      <c r="CH67" s="77"/>
      <c r="CI67" s="77"/>
      <c r="CJ67" s="77"/>
      <c r="CK67" s="77"/>
      <c r="CL67" s="75"/>
      <c r="CM67" s="77"/>
      <c r="CN67" s="77"/>
      <c r="CO67" s="75"/>
      <c r="CP67" s="77"/>
      <c r="CQ67" s="77"/>
      <c r="CR67" s="77"/>
      <c r="CS67" s="77"/>
      <c r="CT67" s="77"/>
      <c r="CU67" s="77"/>
      <c r="CV67" s="77"/>
      <c r="CW67" s="77"/>
      <c r="CX67" s="96">
        <v>1</v>
      </c>
      <c r="CY67" s="96"/>
      <c r="CZ67" s="96"/>
      <c r="DA67" s="96"/>
      <c r="DB67" s="58"/>
      <c r="DC67" s="96"/>
      <c r="DD67" s="96"/>
      <c r="DE67" s="96"/>
      <c r="DF67" s="96"/>
      <c r="DG67" s="96"/>
      <c r="DH67" s="96"/>
      <c r="DI67" s="96"/>
      <c r="DJ67" s="96"/>
      <c r="DK67" s="96"/>
      <c r="DL67" s="96"/>
      <c r="DM67" s="96"/>
      <c r="DN67" s="96"/>
      <c r="DO67" s="96"/>
      <c r="DP67" s="96"/>
      <c r="DQ67" s="96"/>
      <c r="DR67" s="96">
        <v>1.5220100000000001</v>
      </c>
      <c r="DS67" s="96"/>
      <c r="DT67" s="96"/>
      <c r="DU67" s="96"/>
      <c r="DV67" s="96">
        <f t="shared" si="8"/>
        <v>7.2520000000000007</v>
      </c>
      <c r="DW67" s="96">
        <v>0.51800000000000002</v>
      </c>
      <c r="DX67" s="96"/>
      <c r="DY67" s="96"/>
      <c r="DZ67" s="96"/>
      <c r="EA67" s="96"/>
      <c r="EB67" s="96"/>
      <c r="EC67" s="96"/>
      <c r="ED67" s="96"/>
      <c r="EE67" s="96"/>
      <c r="EF67" s="96"/>
      <c r="EG67" s="96"/>
      <c r="EH67" s="96">
        <v>0.40781000000000001</v>
      </c>
      <c r="EI67" s="96"/>
      <c r="EJ67" s="96"/>
      <c r="EK67" s="96"/>
      <c r="EL67" s="96"/>
      <c r="EM67" s="96"/>
      <c r="EN67" s="96"/>
      <c r="EO67" s="96"/>
      <c r="EP67" s="58"/>
      <c r="EQ67" s="96"/>
      <c r="ER67" s="96"/>
      <c r="ES67" s="96"/>
      <c r="ET67" s="58"/>
      <c r="EU67" s="96"/>
      <c r="EV67" s="96"/>
      <c r="EW67" s="96"/>
      <c r="EX67" s="58"/>
      <c r="EY67" s="96"/>
      <c r="EZ67" s="96"/>
      <c r="FA67" s="96"/>
      <c r="FB67" s="96"/>
      <c r="FC67" s="96"/>
      <c r="FD67" s="96"/>
      <c r="FE67" s="96"/>
      <c r="FF67" s="96"/>
      <c r="FG67" s="96"/>
      <c r="FH67" s="96"/>
      <c r="FI67" s="96"/>
      <c r="FJ67" s="96"/>
      <c r="FK67" s="96"/>
      <c r="FL67" s="96"/>
      <c r="FM67" s="96"/>
      <c r="FN67" s="140"/>
      <c r="FO67" s="140"/>
      <c r="FP67" s="140"/>
      <c r="FQ67" s="140"/>
    </row>
    <row r="68" spans="1:173" ht="15.75" thickBot="1" x14ac:dyDescent="0.3">
      <c r="A68" s="50" t="s">
        <v>603</v>
      </c>
      <c r="B68" s="45"/>
      <c r="C68" s="90" t="s">
        <v>355</v>
      </c>
      <c r="D68" s="90" t="s">
        <v>356</v>
      </c>
      <c r="E68" s="90" t="s">
        <v>357</v>
      </c>
      <c r="F68" s="45"/>
      <c r="G68" s="90" t="s">
        <v>355</v>
      </c>
      <c r="H68" s="90" t="s">
        <v>356</v>
      </c>
      <c r="I68" s="90" t="s">
        <v>357</v>
      </c>
      <c r="J68" s="45"/>
      <c r="K68" s="90" t="s">
        <v>355</v>
      </c>
      <c r="L68" s="90" t="s">
        <v>356</v>
      </c>
      <c r="M68" s="90" t="s">
        <v>357</v>
      </c>
      <c r="N68" s="45"/>
      <c r="O68" s="90" t="s">
        <v>355</v>
      </c>
      <c r="P68" s="90" t="s">
        <v>356</v>
      </c>
      <c r="Q68" s="90" t="s">
        <v>357</v>
      </c>
      <c r="R68" s="45"/>
      <c r="S68" s="90" t="s">
        <v>355</v>
      </c>
      <c r="T68" s="90" t="s">
        <v>356</v>
      </c>
      <c r="U68" s="90" t="s">
        <v>357</v>
      </c>
      <c r="V68" s="45"/>
      <c r="W68" s="90" t="s">
        <v>355</v>
      </c>
      <c r="X68" s="90" t="s">
        <v>356</v>
      </c>
      <c r="Y68" s="90" t="s">
        <v>357</v>
      </c>
      <c r="Z68" s="45"/>
      <c r="AA68" s="90" t="s">
        <v>355</v>
      </c>
      <c r="AB68" s="90" t="s">
        <v>356</v>
      </c>
      <c r="AC68" s="90" t="s">
        <v>357</v>
      </c>
      <c r="AD68" s="45"/>
      <c r="AE68" s="90" t="s">
        <v>355</v>
      </c>
      <c r="AF68" s="90" t="s">
        <v>356</v>
      </c>
      <c r="AG68" s="90" t="s">
        <v>357</v>
      </c>
      <c r="AH68" s="45"/>
      <c r="AI68" s="90" t="s">
        <v>355</v>
      </c>
      <c r="AJ68" s="90" t="s">
        <v>356</v>
      </c>
      <c r="AK68" s="90" t="s">
        <v>357</v>
      </c>
      <c r="AL68" s="45"/>
      <c r="AM68" s="90" t="s">
        <v>355</v>
      </c>
      <c r="AN68" s="90" t="s">
        <v>356</v>
      </c>
      <c r="AO68" s="90" t="s">
        <v>357</v>
      </c>
      <c r="AP68" s="45"/>
      <c r="AQ68" s="90" t="s">
        <v>355</v>
      </c>
      <c r="AR68" s="90" t="s">
        <v>356</v>
      </c>
      <c r="AS68" s="90" t="s">
        <v>357</v>
      </c>
      <c r="AT68" s="74"/>
      <c r="AU68" s="79" t="s">
        <v>355</v>
      </c>
      <c r="AV68" s="79" t="s">
        <v>356</v>
      </c>
      <c r="AW68" s="79" t="s">
        <v>357</v>
      </c>
      <c r="AX68" s="74"/>
      <c r="AY68" s="79" t="s">
        <v>355</v>
      </c>
      <c r="AZ68" s="79" t="s">
        <v>356</v>
      </c>
      <c r="BA68" s="79" t="s">
        <v>357</v>
      </c>
      <c r="BB68" s="74"/>
      <c r="BC68" s="79" t="s">
        <v>355</v>
      </c>
      <c r="BD68" s="79" t="s">
        <v>356</v>
      </c>
      <c r="BE68" s="79" t="s">
        <v>357</v>
      </c>
      <c r="BF68" s="74"/>
      <c r="BG68" s="79" t="s">
        <v>355</v>
      </c>
      <c r="BH68" s="79" t="s">
        <v>356</v>
      </c>
      <c r="BI68" s="79" t="s">
        <v>357</v>
      </c>
      <c r="BJ68" s="74"/>
      <c r="BK68" s="79" t="s">
        <v>355</v>
      </c>
      <c r="BL68" s="79" t="s">
        <v>356</v>
      </c>
      <c r="BM68" s="79" t="s">
        <v>357</v>
      </c>
      <c r="BN68" s="74"/>
      <c r="BO68" s="79" t="s">
        <v>355</v>
      </c>
      <c r="BP68" s="79" t="s">
        <v>356</v>
      </c>
      <c r="BQ68" s="79" t="s">
        <v>357</v>
      </c>
      <c r="BR68" s="74"/>
      <c r="BS68" s="79" t="s">
        <v>355</v>
      </c>
      <c r="BT68" s="79" t="s">
        <v>356</v>
      </c>
      <c r="BU68" s="79" t="s">
        <v>357</v>
      </c>
      <c r="BV68" s="74"/>
      <c r="BW68" s="79" t="s">
        <v>355</v>
      </c>
      <c r="BX68" s="79" t="s">
        <v>356</v>
      </c>
      <c r="BY68" s="79" t="s">
        <v>357</v>
      </c>
      <c r="BZ68" s="74"/>
      <c r="CA68" s="79" t="s">
        <v>355</v>
      </c>
      <c r="CB68" s="79" t="s">
        <v>356</v>
      </c>
      <c r="CC68" s="79" t="s">
        <v>357</v>
      </c>
      <c r="CD68" s="74"/>
      <c r="CE68" s="79" t="s">
        <v>355</v>
      </c>
      <c r="CF68" s="79" t="s">
        <v>356</v>
      </c>
      <c r="CG68" s="79" t="s">
        <v>357</v>
      </c>
      <c r="CH68" s="74"/>
      <c r="CI68" s="79" t="s">
        <v>355</v>
      </c>
      <c r="CJ68" s="79" t="s">
        <v>356</v>
      </c>
      <c r="CK68" s="79" t="s">
        <v>357</v>
      </c>
      <c r="CL68" s="74"/>
      <c r="CM68" s="79" t="s">
        <v>355</v>
      </c>
      <c r="CN68" s="79" t="s">
        <v>356</v>
      </c>
      <c r="CO68" s="79" t="s">
        <v>357</v>
      </c>
      <c r="CP68" s="74"/>
      <c r="CQ68" s="79" t="s">
        <v>355</v>
      </c>
      <c r="CR68" s="79" t="s">
        <v>356</v>
      </c>
      <c r="CS68" s="79" t="s">
        <v>357</v>
      </c>
      <c r="CT68" s="74"/>
      <c r="CU68" s="79" t="s">
        <v>355</v>
      </c>
      <c r="CV68" s="79" t="s">
        <v>356</v>
      </c>
      <c r="CW68" s="79" t="s">
        <v>357</v>
      </c>
      <c r="CX68" s="95"/>
      <c r="CY68" s="93" t="s">
        <v>355</v>
      </c>
      <c r="CZ68" s="93" t="s">
        <v>356</v>
      </c>
      <c r="DA68" s="93" t="s">
        <v>357</v>
      </c>
      <c r="DB68" s="57"/>
      <c r="DC68" s="93" t="s">
        <v>355</v>
      </c>
      <c r="DD68" s="93" t="s">
        <v>356</v>
      </c>
      <c r="DE68" s="93" t="s">
        <v>357</v>
      </c>
      <c r="DF68" s="95"/>
      <c r="DG68" s="93" t="s">
        <v>355</v>
      </c>
      <c r="DH68" s="93" t="s">
        <v>356</v>
      </c>
      <c r="DI68" s="93" t="s">
        <v>357</v>
      </c>
      <c r="DJ68" s="95"/>
      <c r="DK68" s="93" t="s">
        <v>355</v>
      </c>
      <c r="DL68" s="93" t="s">
        <v>356</v>
      </c>
      <c r="DM68" s="93" t="s">
        <v>357</v>
      </c>
      <c r="DN68" s="95"/>
      <c r="DO68" s="93" t="s">
        <v>355</v>
      </c>
      <c r="DP68" s="93" t="s">
        <v>356</v>
      </c>
      <c r="DQ68" s="93" t="s">
        <v>357</v>
      </c>
      <c r="DR68" s="95"/>
      <c r="DS68" s="93" t="s">
        <v>355</v>
      </c>
      <c r="DT68" s="93" t="s">
        <v>356</v>
      </c>
      <c r="DU68" s="93" t="s">
        <v>357</v>
      </c>
      <c r="DV68" s="95"/>
      <c r="DW68" s="93" t="s">
        <v>355</v>
      </c>
      <c r="DX68" s="93" t="s">
        <v>356</v>
      </c>
      <c r="DY68" s="93" t="s">
        <v>357</v>
      </c>
      <c r="DZ68" s="95"/>
      <c r="EA68" s="93" t="s">
        <v>355</v>
      </c>
      <c r="EB68" s="93" t="s">
        <v>356</v>
      </c>
      <c r="EC68" s="93" t="s">
        <v>357</v>
      </c>
      <c r="ED68" s="95"/>
      <c r="EE68" s="93" t="s">
        <v>355</v>
      </c>
      <c r="EF68" s="93" t="s">
        <v>356</v>
      </c>
      <c r="EG68" s="93" t="s">
        <v>357</v>
      </c>
      <c r="EH68" s="95"/>
      <c r="EI68" s="93" t="s">
        <v>355</v>
      </c>
      <c r="EJ68" s="93" t="s">
        <v>356</v>
      </c>
      <c r="EK68" s="93" t="s">
        <v>357</v>
      </c>
      <c r="EL68" s="93"/>
      <c r="EM68" s="93" t="s">
        <v>355</v>
      </c>
      <c r="EN68" s="93" t="s">
        <v>356</v>
      </c>
      <c r="EO68" s="93" t="s">
        <v>357</v>
      </c>
      <c r="EP68" s="57"/>
      <c r="EQ68" s="93" t="s">
        <v>355</v>
      </c>
      <c r="ER68" s="93" t="s">
        <v>356</v>
      </c>
      <c r="ES68" s="93" t="s">
        <v>357</v>
      </c>
      <c r="ET68" s="57"/>
      <c r="EU68" s="93" t="s">
        <v>355</v>
      </c>
      <c r="EV68" s="93" t="s">
        <v>356</v>
      </c>
      <c r="EW68" s="93" t="s">
        <v>357</v>
      </c>
      <c r="EX68" s="57"/>
      <c r="EY68" s="93" t="s">
        <v>355</v>
      </c>
      <c r="EZ68" s="93" t="s">
        <v>356</v>
      </c>
      <c r="FA68" s="93" t="s">
        <v>357</v>
      </c>
      <c r="FB68" s="95"/>
      <c r="FC68" s="93" t="s">
        <v>355</v>
      </c>
      <c r="FD68" s="93" t="s">
        <v>356</v>
      </c>
      <c r="FE68" s="93" t="s">
        <v>357</v>
      </c>
      <c r="FF68" s="95"/>
      <c r="FG68" s="93" t="s">
        <v>355</v>
      </c>
      <c r="FH68" s="93" t="s">
        <v>356</v>
      </c>
      <c r="FI68" s="93" t="s">
        <v>357</v>
      </c>
      <c r="FJ68" s="95"/>
      <c r="FK68" s="93" t="s">
        <v>355</v>
      </c>
      <c r="FL68" s="93" t="s">
        <v>356</v>
      </c>
      <c r="FM68" s="93" t="s">
        <v>357</v>
      </c>
      <c r="FN68" s="135"/>
      <c r="FO68" s="136" t="s">
        <v>355</v>
      </c>
      <c r="FP68" s="136" t="s">
        <v>356</v>
      </c>
      <c r="FQ68" s="136" t="s">
        <v>357</v>
      </c>
    </row>
    <row r="69" spans="1:173" s="6" customFormat="1" x14ac:dyDescent="0.25">
      <c r="A69" s="52" t="s">
        <v>115</v>
      </c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  <c r="BM69" s="77"/>
      <c r="BN69" s="77"/>
      <c r="BO69" s="77"/>
      <c r="BP69" s="77"/>
      <c r="BQ69" s="77"/>
      <c r="BR69" s="77"/>
      <c r="BS69" s="77"/>
      <c r="BT69" s="77"/>
      <c r="BU69" s="77"/>
      <c r="BV69" s="77"/>
      <c r="BW69" s="77"/>
      <c r="BX69" s="77"/>
      <c r="BY69" s="77"/>
      <c r="BZ69" s="77"/>
      <c r="CA69" s="77"/>
      <c r="CB69" s="77"/>
      <c r="CC69" s="77"/>
      <c r="CD69" s="77"/>
      <c r="CE69" s="77"/>
      <c r="CF69" s="77"/>
      <c r="CG69" s="77"/>
      <c r="CH69" s="77"/>
      <c r="CI69" s="77"/>
      <c r="CJ69" s="77"/>
      <c r="CK69" s="77"/>
      <c r="CL69" s="77"/>
      <c r="CM69" s="77"/>
      <c r="CN69" s="77"/>
      <c r="CO69" s="77"/>
      <c r="CP69" s="77"/>
      <c r="CQ69" s="77"/>
      <c r="CR69" s="77"/>
      <c r="CS69" s="77"/>
      <c r="CT69" s="77"/>
      <c r="CU69" s="77"/>
      <c r="CV69" s="77"/>
      <c r="CW69" s="77"/>
      <c r="CX69" s="96">
        <v>1</v>
      </c>
      <c r="CY69" s="96"/>
      <c r="CZ69" s="96"/>
      <c r="DA69" s="96"/>
      <c r="DB69" s="58"/>
      <c r="DC69" s="96"/>
      <c r="DD69" s="96"/>
      <c r="DE69" s="96"/>
      <c r="DF69" s="96"/>
      <c r="DG69" s="96"/>
      <c r="DH69" s="96"/>
      <c r="DI69" s="96"/>
      <c r="DJ69" s="96"/>
      <c r="DK69" s="96"/>
      <c r="DL69" s="96"/>
      <c r="DM69" s="96"/>
      <c r="DN69" s="96"/>
      <c r="DO69" s="96"/>
      <c r="DP69" s="96"/>
      <c r="DQ69" s="96"/>
      <c r="DR69" s="96">
        <v>1.9163600000000001</v>
      </c>
      <c r="DS69" s="96"/>
      <c r="DT69" s="96"/>
      <c r="DU69" s="96"/>
      <c r="DV69" s="96">
        <f t="shared" si="8"/>
        <v>6.7241999999999997</v>
      </c>
      <c r="DW69" s="96">
        <v>0.4803</v>
      </c>
      <c r="DX69" s="96"/>
      <c r="DY69" s="96"/>
      <c r="DZ69" s="96"/>
      <c r="EA69" s="96"/>
      <c r="EB69" s="96"/>
      <c r="EC69" s="96"/>
      <c r="ED69" s="96"/>
      <c r="EE69" s="96"/>
      <c r="EF69" s="96"/>
      <c r="EG69" s="96"/>
      <c r="EH69" s="96">
        <v>0.38869700000000001</v>
      </c>
      <c r="EI69" s="96"/>
      <c r="EJ69" s="96"/>
      <c r="EK69" s="96"/>
      <c r="EL69" s="96"/>
      <c r="EM69" s="96"/>
      <c r="EN69" s="96"/>
      <c r="EO69" s="96"/>
      <c r="EP69" s="58"/>
      <c r="EQ69" s="96"/>
      <c r="ER69" s="96"/>
      <c r="ES69" s="96"/>
      <c r="ET69" s="58"/>
      <c r="EU69" s="96"/>
      <c r="EV69" s="96"/>
      <c r="EW69" s="96"/>
      <c r="EX69" s="58"/>
      <c r="EY69" s="96"/>
      <c r="EZ69" s="96"/>
      <c r="FA69" s="96"/>
      <c r="FB69" s="96"/>
      <c r="FC69" s="96"/>
      <c r="FD69" s="96"/>
      <c r="FE69" s="96"/>
      <c r="FF69" s="96"/>
      <c r="FG69" s="96"/>
      <c r="FH69" s="96"/>
      <c r="FI69" s="96"/>
      <c r="FJ69" s="96"/>
      <c r="FK69" s="96"/>
      <c r="FL69" s="96"/>
      <c r="FM69" s="96"/>
      <c r="FN69" s="140"/>
      <c r="FO69" s="140"/>
      <c r="FP69" s="140"/>
      <c r="FQ69" s="140"/>
    </row>
    <row r="70" spans="1:173" ht="15.75" thickBot="1" x14ac:dyDescent="0.3">
      <c r="A70" s="50" t="s">
        <v>604</v>
      </c>
      <c r="B70" s="45"/>
      <c r="C70" s="90" t="s">
        <v>355</v>
      </c>
      <c r="D70" s="90" t="s">
        <v>356</v>
      </c>
      <c r="E70" s="90" t="s">
        <v>357</v>
      </c>
      <c r="F70" s="45"/>
      <c r="G70" s="90" t="s">
        <v>355</v>
      </c>
      <c r="H70" s="90" t="s">
        <v>356</v>
      </c>
      <c r="I70" s="90" t="s">
        <v>357</v>
      </c>
      <c r="J70" s="45"/>
      <c r="K70" s="90" t="s">
        <v>355</v>
      </c>
      <c r="L70" s="90" t="s">
        <v>356</v>
      </c>
      <c r="M70" s="90" t="s">
        <v>357</v>
      </c>
      <c r="N70" s="45"/>
      <c r="O70" s="90" t="s">
        <v>355</v>
      </c>
      <c r="P70" s="90" t="s">
        <v>356</v>
      </c>
      <c r="Q70" s="90" t="s">
        <v>357</v>
      </c>
      <c r="R70" s="45"/>
      <c r="S70" s="90" t="s">
        <v>355</v>
      </c>
      <c r="T70" s="90" t="s">
        <v>356</v>
      </c>
      <c r="U70" s="90" t="s">
        <v>357</v>
      </c>
      <c r="V70" s="45"/>
      <c r="W70" s="90" t="s">
        <v>355</v>
      </c>
      <c r="X70" s="90" t="s">
        <v>356</v>
      </c>
      <c r="Y70" s="90" t="s">
        <v>357</v>
      </c>
      <c r="Z70" s="45"/>
      <c r="AA70" s="90" t="s">
        <v>355</v>
      </c>
      <c r="AB70" s="90" t="s">
        <v>356</v>
      </c>
      <c r="AC70" s="90" t="s">
        <v>357</v>
      </c>
      <c r="AD70" s="45"/>
      <c r="AE70" s="90" t="s">
        <v>355</v>
      </c>
      <c r="AF70" s="90" t="s">
        <v>356</v>
      </c>
      <c r="AG70" s="90" t="s">
        <v>357</v>
      </c>
      <c r="AH70" s="45"/>
      <c r="AI70" s="90" t="s">
        <v>355</v>
      </c>
      <c r="AJ70" s="90" t="s">
        <v>356</v>
      </c>
      <c r="AK70" s="90" t="s">
        <v>357</v>
      </c>
      <c r="AL70" s="45"/>
      <c r="AM70" s="90" t="s">
        <v>355</v>
      </c>
      <c r="AN70" s="90" t="s">
        <v>356</v>
      </c>
      <c r="AO70" s="90" t="s">
        <v>357</v>
      </c>
      <c r="AP70" s="45"/>
      <c r="AQ70" s="90" t="s">
        <v>355</v>
      </c>
      <c r="AR70" s="90" t="s">
        <v>356</v>
      </c>
      <c r="AS70" s="90" t="s">
        <v>357</v>
      </c>
      <c r="AT70" s="74"/>
      <c r="AU70" s="79" t="s">
        <v>355</v>
      </c>
      <c r="AV70" s="79" t="s">
        <v>356</v>
      </c>
      <c r="AW70" s="79" t="s">
        <v>357</v>
      </c>
      <c r="AX70" s="74"/>
      <c r="AY70" s="79" t="s">
        <v>355</v>
      </c>
      <c r="AZ70" s="79" t="s">
        <v>356</v>
      </c>
      <c r="BA70" s="79" t="s">
        <v>357</v>
      </c>
      <c r="BB70" s="74"/>
      <c r="BC70" s="79" t="s">
        <v>355</v>
      </c>
      <c r="BD70" s="79" t="s">
        <v>356</v>
      </c>
      <c r="BE70" s="79" t="s">
        <v>357</v>
      </c>
      <c r="BF70" s="74"/>
      <c r="BG70" s="79" t="s">
        <v>355</v>
      </c>
      <c r="BH70" s="79" t="s">
        <v>356</v>
      </c>
      <c r="BI70" s="79" t="s">
        <v>357</v>
      </c>
      <c r="BJ70" s="74"/>
      <c r="BK70" s="79" t="s">
        <v>355</v>
      </c>
      <c r="BL70" s="79" t="s">
        <v>356</v>
      </c>
      <c r="BM70" s="79" t="s">
        <v>357</v>
      </c>
      <c r="BN70" s="74"/>
      <c r="BO70" s="79" t="s">
        <v>355</v>
      </c>
      <c r="BP70" s="79" t="s">
        <v>356</v>
      </c>
      <c r="BQ70" s="79" t="s">
        <v>357</v>
      </c>
      <c r="BR70" s="74"/>
      <c r="BS70" s="79" t="s">
        <v>355</v>
      </c>
      <c r="BT70" s="79" t="s">
        <v>356</v>
      </c>
      <c r="BU70" s="79" t="s">
        <v>357</v>
      </c>
      <c r="BV70" s="74"/>
      <c r="BW70" s="79" t="s">
        <v>355</v>
      </c>
      <c r="BX70" s="79" t="s">
        <v>356</v>
      </c>
      <c r="BY70" s="79" t="s">
        <v>357</v>
      </c>
      <c r="BZ70" s="74"/>
      <c r="CA70" s="79" t="s">
        <v>355</v>
      </c>
      <c r="CB70" s="79" t="s">
        <v>356</v>
      </c>
      <c r="CC70" s="79" t="s">
        <v>357</v>
      </c>
      <c r="CD70" s="74"/>
      <c r="CE70" s="79" t="s">
        <v>355</v>
      </c>
      <c r="CF70" s="79" t="s">
        <v>356</v>
      </c>
      <c r="CG70" s="79" t="s">
        <v>357</v>
      </c>
      <c r="CH70" s="74"/>
      <c r="CI70" s="79" t="s">
        <v>355</v>
      </c>
      <c r="CJ70" s="79" t="s">
        <v>356</v>
      </c>
      <c r="CK70" s="79" t="s">
        <v>357</v>
      </c>
      <c r="CL70" s="74"/>
      <c r="CM70" s="79" t="s">
        <v>355</v>
      </c>
      <c r="CN70" s="79" t="s">
        <v>356</v>
      </c>
      <c r="CO70" s="79" t="s">
        <v>357</v>
      </c>
      <c r="CP70" s="74"/>
      <c r="CQ70" s="79" t="s">
        <v>355</v>
      </c>
      <c r="CR70" s="79" t="s">
        <v>356</v>
      </c>
      <c r="CS70" s="79" t="s">
        <v>357</v>
      </c>
      <c r="CT70" s="74"/>
      <c r="CU70" s="79" t="s">
        <v>355</v>
      </c>
      <c r="CV70" s="79" t="s">
        <v>356</v>
      </c>
      <c r="CW70" s="79" t="s">
        <v>357</v>
      </c>
      <c r="CX70" s="95"/>
      <c r="CY70" s="93" t="s">
        <v>355</v>
      </c>
      <c r="CZ70" s="93" t="s">
        <v>356</v>
      </c>
      <c r="DA70" s="93" t="s">
        <v>357</v>
      </c>
      <c r="DB70" s="57"/>
      <c r="DC70" s="93" t="s">
        <v>355</v>
      </c>
      <c r="DD70" s="93" t="s">
        <v>356</v>
      </c>
      <c r="DE70" s="93" t="s">
        <v>357</v>
      </c>
      <c r="DF70" s="95"/>
      <c r="DG70" s="93" t="s">
        <v>355</v>
      </c>
      <c r="DH70" s="93" t="s">
        <v>356</v>
      </c>
      <c r="DI70" s="93" t="s">
        <v>357</v>
      </c>
      <c r="DJ70" s="95"/>
      <c r="DK70" s="93" t="s">
        <v>355</v>
      </c>
      <c r="DL70" s="93" t="s">
        <v>356</v>
      </c>
      <c r="DM70" s="93" t="s">
        <v>357</v>
      </c>
      <c r="DN70" s="95"/>
      <c r="DO70" s="93" t="s">
        <v>355</v>
      </c>
      <c r="DP70" s="93" t="s">
        <v>356</v>
      </c>
      <c r="DQ70" s="93" t="s">
        <v>357</v>
      </c>
      <c r="DR70" s="95"/>
      <c r="DS70" s="93" t="s">
        <v>355</v>
      </c>
      <c r="DT70" s="93" t="s">
        <v>356</v>
      </c>
      <c r="DU70" s="93" t="s">
        <v>357</v>
      </c>
      <c r="DV70" s="95"/>
      <c r="DW70" s="93" t="s">
        <v>355</v>
      </c>
      <c r="DX70" s="93" t="s">
        <v>356</v>
      </c>
      <c r="DY70" s="93" t="s">
        <v>357</v>
      </c>
      <c r="DZ70" s="95"/>
      <c r="EA70" s="93" t="s">
        <v>355</v>
      </c>
      <c r="EB70" s="93" t="s">
        <v>356</v>
      </c>
      <c r="EC70" s="93" t="s">
        <v>357</v>
      </c>
      <c r="ED70" s="95"/>
      <c r="EE70" s="93" t="s">
        <v>355</v>
      </c>
      <c r="EF70" s="93" t="s">
        <v>356</v>
      </c>
      <c r="EG70" s="93" t="s">
        <v>357</v>
      </c>
      <c r="EH70" s="95"/>
      <c r="EI70" s="93" t="s">
        <v>355</v>
      </c>
      <c r="EJ70" s="93" t="s">
        <v>356</v>
      </c>
      <c r="EK70" s="93" t="s">
        <v>357</v>
      </c>
      <c r="EL70" s="93"/>
      <c r="EM70" s="93" t="s">
        <v>355</v>
      </c>
      <c r="EN70" s="93" t="s">
        <v>356</v>
      </c>
      <c r="EO70" s="93" t="s">
        <v>357</v>
      </c>
      <c r="EP70" s="57"/>
      <c r="EQ70" s="93" t="s">
        <v>355</v>
      </c>
      <c r="ER70" s="93" t="s">
        <v>356</v>
      </c>
      <c r="ES70" s="93" t="s">
        <v>357</v>
      </c>
      <c r="ET70" s="57"/>
      <c r="EU70" s="93" t="s">
        <v>355</v>
      </c>
      <c r="EV70" s="93" t="s">
        <v>356</v>
      </c>
      <c r="EW70" s="93" t="s">
        <v>357</v>
      </c>
      <c r="EX70" s="57"/>
      <c r="EY70" s="93" t="s">
        <v>355</v>
      </c>
      <c r="EZ70" s="93" t="s">
        <v>356</v>
      </c>
      <c r="FA70" s="93" t="s">
        <v>357</v>
      </c>
      <c r="FB70" s="95"/>
      <c r="FC70" s="93" t="s">
        <v>355</v>
      </c>
      <c r="FD70" s="93" t="s">
        <v>356</v>
      </c>
      <c r="FE70" s="93" t="s">
        <v>357</v>
      </c>
      <c r="FF70" s="95"/>
      <c r="FG70" s="93" t="s">
        <v>355</v>
      </c>
      <c r="FH70" s="93" t="s">
        <v>356</v>
      </c>
      <c r="FI70" s="93" t="s">
        <v>357</v>
      </c>
      <c r="FJ70" s="95"/>
      <c r="FK70" s="93" t="s">
        <v>355</v>
      </c>
      <c r="FL70" s="93" t="s">
        <v>356</v>
      </c>
      <c r="FM70" s="93" t="s">
        <v>357</v>
      </c>
      <c r="FN70" s="135"/>
      <c r="FO70" s="136" t="s">
        <v>355</v>
      </c>
      <c r="FP70" s="136" t="s">
        <v>356</v>
      </c>
      <c r="FQ70" s="136" t="s">
        <v>357</v>
      </c>
    </row>
    <row r="71" spans="1:173" s="6" customFormat="1" x14ac:dyDescent="0.25">
      <c r="A71" s="52" t="s">
        <v>115</v>
      </c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77"/>
      <c r="AU71" s="77"/>
      <c r="AV71" s="77"/>
      <c r="AW71" s="77"/>
      <c r="AX71" s="77"/>
      <c r="AY71" s="77"/>
      <c r="AZ71" s="77"/>
      <c r="BA71" s="77"/>
      <c r="BB71" s="77"/>
      <c r="BC71" s="77"/>
      <c r="BD71" s="77"/>
      <c r="BE71" s="77"/>
      <c r="BF71" s="77"/>
      <c r="BG71" s="77"/>
      <c r="BH71" s="77"/>
      <c r="BI71" s="77"/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/>
      <c r="BW71" s="77"/>
      <c r="BX71" s="77"/>
      <c r="BY71" s="77"/>
      <c r="BZ71" s="77"/>
      <c r="CA71" s="77"/>
      <c r="CB71" s="77"/>
      <c r="CC71" s="77"/>
      <c r="CD71" s="77"/>
      <c r="CE71" s="77"/>
      <c r="CF71" s="77"/>
      <c r="CG71" s="77"/>
      <c r="CH71" s="77"/>
      <c r="CI71" s="77"/>
      <c r="CJ71" s="77"/>
      <c r="CK71" s="77"/>
      <c r="CL71" s="77"/>
      <c r="CM71" s="77"/>
      <c r="CN71" s="77"/>
      <c r="CO71" s="77"/>
      <c r="CP71" s="77"/>
      <c r="CQ71" s="77"/>
      <c r="CR71" s="77"/>
      <c r="CS71" s="77"/>
      <c r="CT71" s="77"/>
      <c r="CU71" s="77"/>
      <c r="CV71" s="77"/>
      <c r="CW71" s="77"/>
      <c r="CX71" s="96">
        <v>4</v>
      </c>
      <c r="CY71" s="96"/>
      <c r="CZ71" s="96"/>
      <c r="DA71" s="96"/>
      <c r="DB71" s="58"/>
      <c r="DC71" s="96"/>
      <c r="DD71" s="96"/>
      <c r="DE71" s="96"/>
      <c r="DF71" s="96"/>
      <c r="DG71" s="96"/>
      <c r="DH71" s="96"/>
      <c r="DI71" s="96"/>
      <c r="DJ71" s="96"/>
      <c r="DK71" s="96"/>
      <c r="DL71" s="96"/>
      <c r="DM71" s="96"/>
      <c r="DN71" s="96"/>
      <c r="DO71" s="96"/>
      <c r="DP71" s="96"/>
      <c r="DQ71" s="96"/>
      <c r="DR71" s="96">
        <v>1.0354399999999999</v>
      </c>
      <c r="DS71" s="96"/>
      <c r="DT71" s="96"/>
      <c r="DU71" s="96"/>
      <c r="DV71" s="96">
        <f t="shared" si="8"/>
        <v>8.4336000000000002</v>
      </c>
      <c r="DW71" s="96">
        <v>0.60240000000000005</v>
      </c>
      <c r="DX71" s="96"/>
      <c r="DY71" s="96"/>
      <c r="DZ71" s="96"/>
      <c r="EA71" s="96"/>
      <c r="EB71" s="96"/>
      <c r="EC71" s="96"/>
      <c r="ED71" s="96"/>
      <c r="EE71" s="96"/>
      <c r="EF71" s="96"/>
      <c r="EG71" s="96"/>
      <c r="EH71" s="96">
        <v>0.42878699999999997</v>
      </c>
      <c r="EI71" s="96"/>
      <c r="EJ71" s="96"/>
      <c r="EK71" s="96"/>
      <c r="EL71" s="96"/>
      <c r="EM71" s="96"/>
      <c r="EN71" s="96"/>
      <c r="EO71" s="96"/>
      <c r="EP71" s="58"/>
      <c r="EQ71" s="96"/>
      <c r="ER71" s="96"/>
      <c r="ES71" s="96"/>
      <c r="ET71" s="58"/>
      <c r="EU71" s="96"/>
      <c r="EV71" s="96"/>
      <c r="EW71" s="96"/>
      <c r="EX71" s="58"/>
      <c r="EY71" s="96"/>
      <c r="EZ71" s="96"/>
      <c r="FA71" s="96"/>
      <c r="FB71" s="96"/>
      <c r="FC71" s="96"/>
      <c r="FD71" s="96"/>
      <c r="FE71" s="96"/>
      <c r="FF71" s="96"/>
      <c r="FG71" s="96"/>
      <c r="FH71" s="96"/>
      <c r="FI71" s="96"/>
      <c r="FJ71" s="96"/>
      <c r="FK71" s="96"/>
      <c r="FL71" s="96"/>
      <c r="FM71" s="96"/>
      <c r="FN71" s="140"/>
      <c r="FO71" s="140"/>
      <c r="FP71" s="140"/>
      <c r="FQ71" s="140"/>
    </row>
    <row r="72" spans="1:173" ht="15.75" thickBot="1" x14ac:dyDescent="0.3">
      <c r="A72" s="50" t="s">
        <v>598</v>
      </c>
      <c r="B72" s="45"/>
      <c r="C72" s="90" t="s">
        <v>355</v>
      </c>
      <c r="D72" s="90" t="s">
        <v>356</v>
      </c>
      <c r="E72" s="90" t="s">
        <v>357</v>
      </c>
      <c r="F72" s="45"/>
      <c r="G72" s="90" t="s">
        <v>355</v>
      </c>
      <c r="H72" s="90" t="s">
        <v>356</v>
      </c>
      <c r="I72" s="90" t="s">
        <v>357</v>
      </c>
      <c r="J72" s="45"/>
      <c r="K72" s="90" t="s">
        <v>355</v>
      </c>
      <c r="L72" s="90" t="s">
        <v>356</v>
      </c>
      <c r="M72" s="90" t="s">
        <v>357</v>
      </c>
      <c r="N72" s="45"/>
      <c r="O72" s="90" t="s">
        <v>355</v>
      </c>
      <c r="P72" s="90" t="s">
        <v>356</v>
      </c>
      <c r="Q72" s="90" t="s">
        <v>357</v>
      </c>
      <c r="R72" s="45"/>
      <c r="S72" s="90" t="s">
        <v>355</v>
      </c>
      <c r="T72" s="90" t="s">
        <v>356</v>
      </c>
      <c r="U72" s="90" t="s">
        <v>357</v>
      </c>
      <c r="V72" s="45"/>
      <c r="W72" s="90" t="s">
        <v>355</v>
      </c>
      <c r="X72" s="90" t="s">
        <v>356</v>
      </c>
      <c r="Y72" s="90" t="s">
        <v>357</v>
      </c>
      <c r="Z72" s="45"/>
      <c r="AA72" s="90" t="s">
        <v>355</v>
      </c>
      <c r="AB72" s="90" t="s">
        <v>356</v>
      </c>
      <c r="AC72" s="90" t="s">
        <v>357</v>
      </c>
      <c r="AD72" s="45"/>
      <c r="AE72" s="90" t="s">
        <v>355</v>
      </c>
      <c r="AF72" s="90" t="s">
        <v>356</v>
      </c>
      <c r="AG72" s="90" t="s">
        <v>357</v>
      </c>
      <c r="AH72" s="45"/>
      <c r="AI72" s="90" t="s">
        <v>355</v>
      </c>
      <c r="AJ72" s="90" t="s">
        <v>356</v>
      </c>
      <c r="AK72" s="90" t="s">
        <v>357</v>
      </c>
      <c r="AL72" s="45"/>
      <c r="AM72" s="90" t="s">
        <v>355</v>
      </c>
      <c r="AN72" s="90" t="s">
        <v>356</v>
      </c>
      <c r="AO72" s="90" t="s">
        <v>357</v>
      </c>
      <c r="AP72" s="45"/>
      <c r="AQ72" s="90" t="s">
        <v>355</v>
      </c>
      <c r="AR72" s="90" t="s">
        <v>356</v>
      </c>
      <c r="AS72" s="90" t="s">
        <v>357</v>
      </c>
      <c r="AT72" s="74"/>
      <c r="AU72" s="79" t="s">
        <v>355</v>
      </c>
      <c r="AV72" s="79" t="s">
        <v>356</v>
      </c>
      <c r="AW72" s="79" t="s">
        <v>357</v>
      </c>
      <c r="AX72" s="74"/>
      <c r="AY72" s="79" t="s">
        <v>355</v>
      </c>
      <c r="AZ72" s="79" t="s">
        <v>356</v>
      </c>
      <c r="BA72" s="79" t="s">
        <v>357</v>
      </c>
      <c r="BB72" s="74"/>
      <c r="BC72" s="79" t="s">
        <v>355</v>
      </c>
      <c r="BD72" s="79" t="s">
        <v>356</v>
      </c>
      <c r="BE72" s="79" t="s">
        <v>357</v>
      </c>
      <c r="BF72" s="74"/>
      <c r="BG72" s="79" t="s">
        <v>355</v>
      </c>
      <c r="BH72" s="79" t="s">
        <v>356</v>
      </c>
      <c r="BI72" s="79" t="s">
        <v>357</v>
      </c>
      <c r="BJ72" s="74"/>
      <c r="BK72" s="79" t="s">
        <v>355</v>
      </c>
      <c r="BL72" s="79" t="s">
        <v>356</v>
      </c>
      <c r="BM72" s="79" t="s">
        <v>357</v>
      </c>
      <c r="BN72" s="74"/>
      <c r="BO72" s="79" t="s">
        <v>355</v>
      </c>
      <c r="BP72" s="79" t="s">
        <v>356</v>
      </c>
      <c r="BQ72" s="79" t="s">
        <v>357</v>
      </c>
      <c r="BR72" s="74"/>
      <c r="BS72" s="79" t="s">
        <v>355</v>
      </c>
      <c r="BT72" s="79" t="s">
        <v>356</v>
      </c>
      <c r="BU72" s="79" t="s">
        <v>357</v>
      </c>
      <c r="BV72" s="74"/>
      <c r="BW72" s="79" t="s">
        <v>355</v>
      </c>
      <c r="BX72" s="79" t="s">
        <v>356</v>
      </c>
      <c r="BY72" s="79" t="s">
        <v>357</v>
      </c>
      <c r="BZ72" s="74"/>
      <c r="CA72" s="79" t="s">
        <v>355</v>
      </c>
      <c r="CB72" s="79" t="s">
        <v>356</v>
      </c>
      <c r="CC72" s="79" t="s">
        <v>357</v>
      </c>
      <c r="CD72" s="74"/>
      <c r="CE72" s="79" t="s">
        <v>355</v>
      </c>
      <c r="CF72" s="79" t="s">
        <v>356</v>
      </c>
      <c r="CG72" s="79" t="s">
        <v>357</v>
      </c>
      <c r="CH72" s="74"/>
      <c r="CI72" s="79" t="s">
        <v>355</v>
      </c>
      <c r="CJ72" s="79" t="s">
        <v>356</v>
      </c>
      <c r="CK72" s="79" t="s">
        <v>357</v>
      </c>
      <c r="CL72" s="74"/>
      <c r="CM72" s="79" t="s">
        <v>355</v>
      </c>
      <c r="CN72" s="79" t="s">
        <v>356</v>
      </c>
      <c r="CO72" s="79" t="s">
        <v>357</v>
      </c>
      <c r="CP72" s="74"/>
      <c r="CQ72" s="79" t="s">
        <v>355</v>
      </c>
      <c r="CR72" s="79" t="s">
        <v>356</v>
      </c>
      <c r="CS72" s="79" t="s">
        <v>357</v>
      </c>
      <c r="CT72" s="74"/>
      <c r="CU72" s="79" t="s">
        <v>355</v>
      </c>
      <c r="CV72" s="79" t="s">
        <v>356</v>
      </c>
      <c r="CW72" s="79" t="s">
        <v>357</v>
      </c>
      <c r="CX72" s="95"/>
      <c r="CY72" s="93" t="s">
        <v>355</v>
      </c>
      <c r="CZ72" s="93" t="s">
        <v>356</v>
      </c>
      <c r="DA72" s="93" t="s">
        <v>357</v>
      </c>
      <c r="DB72" s="57"/>
      <c r="DC72" s="93" t="s">
        <v>355</v>
      </c>
      <c r="DD72" s="93" t="s">
        <v>356</v>
      </c>
      <c r="DE72" s="93" t="s">
        <v>357</v>
      </c>
      <c r="DF72" s="95"/>
      <c r="DG72" s="93" t="s">
        <v>355</v>
      </c>
      <c r="DH72" s="93" t="s">
        <v>356</v>
      </c>
      <c r="DI72" s="93" t="s">
        <v>357</v>
      </c>
      <c r="DJ72" s="95"/>
      <c r="DK72" s="93" t="s">
        <v>355</v>
      </c>
      <c r="DL72" s="93" t="s">
        <v>356</v>
      </c>
      <c r="DM72" s="93" t="s">
        <v>357</v>
      </c>
      <c r="DN72" s="95"/>
      <c r="DO72" s="93" t="s">
        <v>355</v>
      </c>
      <c r="DP72" s="93" t="s">
        <v>356</v>
      </c>
      <c r="DQ72" s="93" t="s">
        <v>357</v>
      </c>
      <c r="DR72" s="95"/>
      <c r="DS72" s="93" t="s">
        <v>355</v>
      </c>
      <c r="DT72" s="93" t="s">
        <v>356</v>
      </c>
      <c r="DU72" s="93" t="s">
        <v>357</v>
      </c>
      <c r="DV72" s="95"/>
      <c r="DW72" s="93" t="s">
        <v>355</v>
      </c>
      <c r="DX72" s="93" t="s">
        <v>356</v>
      </c>
      <c r="DY72" s="93" t="s">
        <v>357</v>
      </c>
      <c r="DZ72" s="95"/>
      <c r="EA72" s="93" t="s">
        <v>355</v>
      </c>
      <c r="EB72" s="93" t="s">
        <v>356</v>
      </c>
      <c r="EC72" s="93" t="s">
        <v>357</v>
      </c>
      <c r="ED72" s="95"/>
      <c r="EE72" s="93" t="s">
        <v>355</v>
      </c>
      <c r="EF72" s="93" t="s">
        <v>356</v>
      </c>
      <c r="EG72" s="93" t="s">
        <v>357</v>
      </c>
      <c r="EH72" s="95"/>
      <c r="EI72" s="93" t="s">
        <v>355</v>
      </c>
      <c r="EJ72" s="93" t="s">
        <v>356</v>
      </c>
      <c r="EK72" s="93" t="s">
        <v>357</v>
      </c>
      <c r="EL72" s="93"/>
      <c r="EM72" s="93" t="s">
        <v>355</v>
      </c>
      <c r="EN72" s="93" t="s">
        <v>356</v>
      </c>
      <c r="EO72" s="93" t="s">
        <v>357</v>
      </c>
      <c r="EP72" s="57"/>
      <c r="EQ72" s="93" t="s">
        <v>355</v>
      </c>
      <c r="ER72" s="93" t="s">
        <v>356</v>
      </c>
      <c r="ES72" s="93" t="s">
        <v>357</v>
      </c>
      <c r="ET72" s="57"/>
      <c r="EU72" s="93" t="s">
        <v>355</v>
      </c>
      <c r="EV72" s="93" t="s">
        <v>356</v>
      </c>
      <c r="EW72" s="93" t="s">
        <v>357</v>
      </c>
      <c r="EX72" s="57"/>
      <c r="EY72" s="93" t="s">
        <v>355</v>
      </c>
      <c r="EZ72" s="93" t="s">
        <v>356</v>
      </c>
      <c r="FA72" s="93" t="s">
        <v>357</v>
      </c>
      <c r="FB72" s="95"/>
      <c r="FC72" s="93" t="s">
        <v>355</v>
      </c>
      <c r="FD72" s="93" t="s">
        <v>356</v>
      </c>
      <c r="FE72" s="93" t="s">
        <v>357</v>
      </c>
      <c r="FF72" s="95"/>
      <c r="FG72" s="93" t="s">
        <v>355</v>
      </c>
      <c r="FH72" s="93" t="s">
        <v>356</v>
      </c>
      <c r="FI72" s="93" t="s">
        <v>357</v>
      </c>
      <c r="FJ72" s="95"/>
      <c r="FK72" s="93" t="s">
        <v>355</v>
      </c>
      <c r="FL72" s="93" t="s">
        <v>356</v>
      </c>
      <c r="FM72" s="93" t="s">
        <v>357</v>
      </c>
      <c r="FN72" s="135"/>
      <c r="FO72" s="136" t="s">
        <v>355</v>
      </c>
      <c r="FP72" s="136" t="s">
        <v>356</v>
      </c>
      <c r="FQ72" s="136" t="s">
        <v>357</v>
      </c>
    </row>
    <row r="73" spans="1:173" s="6" customFormat="1" x14ac:dyDescent="0.25">
      <c r="A73" s="52" t="s">
        <v>115</v>
      </c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  <c r="BW73" s="77"/>
      <c r="BX73" s="77"/>
      <c r="BY73" s="77"/>
      <c r="BZ73" s="77"/>
      <c r="CA73" s="77"/>
      <c r="CB73" s="77"/>
      <c r="CC73" s="77"/>
      <c r="CD73" s="77"/>
      <c r="CE73" s="77"/>
      <c r="CF73" s="77"/>
      <c r="CG73" s="77"/>
      <c r="CH73" s="77"/>
      <c r="CI73" s="77"/>
      <c r="CJ73" s="77"/>
      <c r="CK73" s="77"/>
      <c r="CL73" s="77"/>
      <c r="CM73" s="77"/>
      <c r="CN73" s="77"/>
      <c r="CO73" s="77"/>
      <c r="CP73" s="77"/>
      <c r="CQ73" s="77"/>
      <c r="CR73" s="77"/>
      <c r="CS73" s="77"/>
      <c r="CT73" s="77"/>
      <c r="CU73" s="77"/>
      <c r="CV73" s="77"/>
      <c r="CW73" s="77"/>
      <c r="CX73" s="96">
        <v>1</v>
      </c>
      <c r="CY73" s="96"/>
      <c r="CZ73" s="96"/>
      <c r="DA73" s="96"/>
      <c r="DB73" s="58"/>
      <c r="DC73" s="96"/>
      <c r="DD73" s="96"/>
      <c r="DE73" s="96"/>
      <c r="DF73" s="96"/>
      <c r="DG73" s="96"/>
      <c r="DH73" s="96"/>
      <c r="DI73" s="96"/>
      <c r="DJ73" s="96"/>
      <c r="DK73" s="96"/>
      <c r="DL73" s="96"/>
      <c r="DM73" s="96"/>
      <c r="DN73" s="96"/>
      <c r="DO73" s="96"/>
      <c r="DP73" s="96"/>
      <c r="DQ73" s="96"/>
      <c r="DR73" s="96">
        <v>2.1417600000000001</v>
      </c>
      <c r="DS73" s="96"/>
      <c r="DT73" s="96"/>
      <c r="DU73" s="96"/>
      <c r="DV73" s="96">
        <f t="shared" si="8"/>
        <v>9.0272000000000006</v>
      </c>
      <c r="DW73" s="96">
        <v>0.64480000000000004</v>
      </c>
      <c r="DX73" s="96"/>
      <c r="DY73" s="96"/>
      <c r="DZ73" s="96"/>
      <c r="EA73" s="96"/>
      <c r="EB73" s="96"/>
      <c r="EC73" s="96"/>
      <c r="ED73" s="96"/>
      <c r="EE73" s="96"/>
      <c r="EF73" s="96"/>
      <c r="EG73" s="96"/>
      <c r="EH73" s="96">
        <v>0.40576699999999999</v>
      </c>
      <c r="EI73" s="96"/>
      <c r="EJ73" s="96"/>
      <c r="EK73" s="96"/>
      <c r="EL73" s="96"/>
      <c r="EM73" s="96"/>
      <c r="EN73" s="96"/>
      <c r="EO73" s="96"/>
      <c r="EP73" s="58"/>
      <c r="EQ73" s="96"/>
      <c r="ER73" s="96"/>
      <c r="ES73" s="96"/>
      <c r="ET73" s="58"/>
      <c r="EU73" s="96"/>
      <c r="EV73" s="96"/>
      <c r="EW73" s="96"/>
      <c r="EX73" s="58"/>
      <c r="EY73" s="96"/>
      <c r="EZ73" s="96"/>
      <c r="FA73" s="96"/>
      <c r="FB73" s="96"/>
      <c r="FC73" s="96"/>
      <c r="FD73" s="96"/>
      <c r="FE73" s="96"/>
      <c r="FF73" s="96"/>
      <c r="FG73" s="96"/>
      <c r="FH73" s="96"/>
      <c r="FI73" s="96"/>
      <c r="FJ73" s="96"/>
      <c r="FK73" s="96"/>
      <c r="FL73" s="96"/>
      <c r="FM73" s="96"/>
      <c r="FN73" s="140"/>
      <c r="FO73" s="140"/>
      <c r="FP73" s="140"/>
      <c r="FQ73" s="140"/>
    </row>
    <row r="74" spans="1:173" ht="15.75" thickBot="1" x14ac:dyDescent="0.3">
      <c r="A74" s="50" t="s">
        <v>601</v>
      </c>
      <c r="B74" s="45"/>
      <c r="C74" s="90" t="s">
        <v>355</v>
      </c>
      <c r="D74" s="90" t="s">
        <v>356</v>
      </c>
      <c r="E74" s="90" t="s">
        <v>357</v>
      </c>
      <c r="F74" s="45"/>
      <c r="G74" s="90" t="s">
        <v>355</v>
      </c>
      <c r="H74" s="90" t="s">
        <v>356</v>
      </c>
      <c r="I74" s="90" t="s">
        <v>357</v>
      </c>
      <c r="J74" s="45"/>
      <c r="K74" s="90" t="s">
        <v>355</v>
      </c>
      <c r="L74" s="90" t="s">
        <v>356</v>
      </c>
      <c r="M74" s="90" t="s">
        <v>357</v>
      </c>
      <c r="N74" s="45"/>
      <c r="O74" s="90" t="s">
        <v>355</v>
      </c>
      <c r="P74" s="90" t="s">
        <v>356</v>
      </c>
      <c r="Q74" s="90" t="s">
        <v>357</v>
      </c>
      <c r="R74" s="45"/>
      <c r="S74" s="90" t="s">
        <v>355</v>
      </c>
      <c r="T74" s="90" t="s">
        <v>356</v>
      </c>
      <c r="U74" s="90" t="s">
        <v>357</v>
      </c>
      <c r="V74" s="45"/>
      <c r="W74" s="90" t="s">
        <v>355</v>
      </c>
      <c r="X74" s="90" t="s">
        <v>356</v>
      </c>
      <c r="Y74" s="90" t="s">
        <v>357</v>
      </c>
      <c r="Z74" s="45"/>
      <c r="AA74" s="90" t="s">
        <v>355</v>
      </c>
      <c r="AB74" s="90" t="s">
        <v>356</v>
      </c>
      <c r="AC74" s="90" t="s">
        <v>357</v>
      </c>
      <c r="AD74" s="45"/>
      <c r="AE74" s="90" t="s">
        <v>355</v>
      </c>
      <c r="AF74" s="90" t="s">
        <v>356</v>
      </c>
      <c r="AG74" s="90" t="s">
        <v>357</v>
      </c>
      <c r="AH74" s="45"/>
      <c r="AI74" s="90" t="s">
        <v>355</v>
      </c>
      <c r="AJ74" s="90" t="s">
        <v>356</v>
      </c>
      <c r="AK74" s="90" t="s">
        <v>357</v>
      </c>
      <c r="AL74" s="45"/>
      <c r="AM74" s="90" t="s">
        <v>355</v>
      </c>
      <c r="AN74" s="90" t="s">
        <v>356</v>
      </c>
      <c r="AO74" s="90" t="s">
        <v>357</v>
      </c>
      <c r="AP74" s="45"/>
      <c r="AQ74" s="90" t="s">
        <v>355</v>
      </c>
      <c r="AR74" s="90" t="s">
        <v>356</v>
      </c>
      <c r="AS74" s="90" t="s">
        <v>357</v>
      </c>
      <c r="AT74" s="74"/>
      <c r="AU74" s="79" t="s">
        <v>355</v>
      </c>
      <c r="AV74" s="79" t="s">
        <v>356</v>
      </c>
      <c r="AW74" s="79" t="s">
        <v>357</v>
      </c>
      <c r="AX74" s="74"/>
      <c r="AY74" s="79" t="s">
        <v>355</v>
      </c>
      <c r="AZ74" s="79" t="s">
        <v>356</v>
      </c>
      <c r="BA74" s="79" t="s">
        <v>357</v>
      </c>
      <c r="BB74" s="74"/>
      <c r="BC74" s="79" t="s">
        <v>355</v>
      </c>
      <c r="BD74" s="79" t="s">
        <v>356</v>
      </c>
      <c r="BE74" s="79" t="s">
        <v>357</v>
      </c>
      <c r="BF74" s="74"/>
      <c r="BG74" s="79" t="s">
        <v>355</v>
      </c>
      <c r="BH74" s="79" t="s">
        <v>356</v>
      </c>
      <c r="BI74" s="79" t="s">
        <v>357</v>
      </c>
      <c r="BJ74" s="74"/>
      <c r="BK74" s="79" t="s">
        <v>355</v>
      </c>
      <c r="BL74" s="79" t="s">
        <v>356</v>
      </c>
      <c r="BM74" s="79" t="s">
        <v>357</v>
      </c>
      <c r="BN74" s="74"/>
      <c r="BO74" s="79" t="s">
        <v>355</v>
      </c>
      <c r="BP74" s="79" t="s">
        <v>356</v>
      </c>
      <c r="BQ74" s="79" t="s">
        <v>357</v>
      </c>
      <c r="BR74" s="74"/>
      <c r="BS74" s="79" t="s">
        <v>355</v>
      </c>
      <c r="BT74" s="79" t="s">
        <v>356</v>
      </c>
      <c r="BU74" s="79" t="s">
        <v>357</v>
      </c>
      <c r="BV74" s="74"/>
      <c r="BW74" s="79" t="s">
        <v>355</v>
      </c>
      <c r="BX74" s="79" t="s">
        <v>356</v>
      </c>
      <c r="BY74" s="79" t="s">
        <v>357</v>
      </c>
      <c r="BZ74" s="74"/>
      <c r="CA74" s="79" t="s">
        <v>355</v>
      </c>
      <c r="CB74" s="79" t="s">
        <v>356</v>
      </c>
      <c r="CC74" s="79" t="s">
        <v>357</v>
      </c>
      <c r="CD74" s="74"/>
      <c r="CE74" s="79" t="s">
        <v>355</v>
      </c>
      <c r="CF74" s="79" t="s">
        <v>356</v>
      </c>
      <c r="CG74" s="79" t="s">
        <v>357</v>
      </c>
      <c r="CH74" s="74"/>
      <c r="CI74" s="79" t="s">
        <v>355</v>
      </c>
      <c r="CJ74" s="79" t="s">
        <v>356</v>
      </c>
      <c r="CK74" s="79" t="s">
        <v>357</v>
      </c>
      <c r="CL74" s="74"/>
      <c r="CM74" s="79" t="s">
        <v>355</v>
      </c>
      <c r="CN74" s="79" t="s">
        <v>356</v>
      </c>
      <c r="CO74" s="79" t="s">
        <v>357</v>
      </c>
      <c r="CP74" s="74"/>
      <c r="CQ74" s="79" t="s">
        <v>355</v>
      </c>
      <c r="CR74" s="79" t="s">
        <v>356</v>
      </c>
      <c r="CS74" s="79" t="s">
        <v>357</v>
      </c>
      <c r="CT74" s="74"/>
      <c r="CU74" s="79" t="s">
        <v>355</v>
      </c>
      <c r="CV74" s="79" t="s">
        <v>356</v>
      </c>
      <c r="CW74" s="79" t="s">
        <v>357</v>
      </c>
      <c r="CX74" s="95"/>
      <c r="CY74" s="93" t="s">
        <v>355</v>
      </c>
      <c r="CZ74" s="93" t="s">
        <v>356</v>
      </c>
      <c r="DA74" s="93" t="s">
        <v>357</v>
      </c>
      <c r="DB74" s="57"/>
      <c r="DC74" s="93" t="s">
        <v>355</v>
      </c>
      <c r="DD74" s="93" t="s">
        <v>356</v>
      </c>
      <c r="DE74" s="93" t="s">
        <v>357</v>
      </c>
      <c r="DF74" s="95"/>
      <c r="DG74" s="93" t="s">
        <v>355</v>
      </c>
      <c r="DH74" s="93" t="s">
        <v>356</v>
      </c>
      <c r="DI74" s="93" t="s">
        <v>357</v>
      </c>
      <c r="DJ74" s="95"/>
      <c r="DK74" s="93" t="s">
        <v>355</v>
      </c>
      <c r="DL74" s="93" t="s">
        <v>356</v>
      </c>
      <c r="DM74" s="93" t="s">
        <v>357</v>
      </c>
      <c r="DN74" s="95"/>
      <c r="DO74" s="93" t="s">
        <v>355</v>
      </c>
      <c r="DP74" s="93" t="s">
        <v>356</v>
      </c>
      <c r="DQ74" s="93" t="s">
        <v>357</v>
      </c>
      <c r="DR74" s="95"/>
      <c r="DS74" s="93" t="s">
        <v>355</v>
      </c>
      <c r="DT74" s="93" t="s">
        <v>356</v>
      </c>
      <c r="DU74" s="93" t="s">
        <v>357</v>
      </c>
      <c r="DV74" s="95"/>
      <c r="DW74" s="93" t="s">
        <v>355</v>
      </c>
      <c r="DX74" s="93" t="s">
        <v>356</v>
      </c>
      <c r="DY74" s="93" t="s">
        <v>357</v>
      </c>
      <c r="DZ74" s="95"/>
      <c r="EA74" s="93" t="s">
        <v>355</v>
      </c>
      <c r="EB74" s="93" t="s">
        <v>356</v>
      </c>
      <c r="EC74" s="93" t="s">
        <v>357</v>
      </c>
      <c r="ED74" s="95"/>
      <c r="EE74" s="93" t="s">
        <v>355</v>
      </c>
      <c r="EF74" s="93" t="s">
        <v>356</v>
      </c>
      <c r="EG74" s="93" t="s">
        <v>357</v>
      </c>
      <c r="EH74" s="95"/>
      <c r="EI74" s="93" t="s">
        <v>355</v>
      </c>
      <c r="EJ74" s="93" t="s">
        <v>356</v>
      </c>
      <c r="EK74" s="93" t="s">
        <v>357</v>
      </c>
      <c r="EL74" s="93"/>
      <c r="EM74" s="93" t="s">
        <v>355</v>
      </c>
      <c r="EN74" s="93" t="s">
        <v>356</v>
      </c>
      <c r="EO74" s="93" t="s">
        <v>357</v>
      </c>
      <c r="EP74" s="57"/>
      <c r="EQ74" s="93" t="s">
        <v>355</v>
      </c>
      <c r="ER74" s="93" t="s">
        <v>356</v>
      </c>
      <c r="ES74" s="93" t="s">
        <v>357</v>
      </c>
      <c r="ET74" s="57"/>
      <c r="EU74" s="93" t="s">
        <v>355</v>
      </c>
      <c r="EV74" s="93" t="s">
        <v>356</v>
      </c>
      <c r="EW74" s="93" t="s">
        <v>357</v>
      </c>
      <c r="EX74" s="57"/>
      <c r="EY74" s="93" t="s">
        <v>355</v>
      </c>
      <c r="EZ74" s="93" t="s">
        <v>356</v>
      </c>
      <c r="FA74" s="93" t="s">
        <v>357</v>
      </c>
      <c r="FB74" s="95"/>
      <c r="FC74" s="93" t="s">
        <v>355</v>
      </c>
      <c r="FD74" s="93" t="s">
        <v>356</v>
      </c>
      <c r="FE74" s="93" t="s">
        <v>357</v>
      </c>
      <c r="FF74" s="95"/>
      <c r="FG74" s="93" t="s">
        <v>355</v>
      </c>
      <c r="FH74" s="93" t="s">
        <v>356</v>
      </c>
      <c r="FI74" s="93" t="s">
        <v>357</v>
      </c>
      <c r="FJ74" s="95"/>
      <c r="FK74" s="93" t="s">
        <v>355</v>
      </c>
      <c r="FL74" s="93" t="s">
        <v>356</v>
      </c>
      <c r="FM74" s="93" t="s">
        <v>357</v>
      </c>
      <c r="FN74" s="135"/>
      <c r="FO74" s="136" t="s">
        <v>355</v>
      </c>
      <c r="FP74" s="136" t="s">
        <v>356</v>
      </c>
      <c r="FQ74" s="136" t="s">
        <v>357</v>
      </c>
    </row>
    <row r="75" spans="1:173" s="6" customFormat="1" x14ac:dyDescent="0.25">
      <c r="A75" s="52" t="s">
        <v>115</v>
      </c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/>
      <c r="BO75" s="77"/>
      <c r="BP75" s="77"/>
      <c r="BQ75" s="77"/>
      <c r="BR75" s="77"/>
      <c r="BS75" s="77"/>
      <c r="BT75" s="77"/>
      <c r="BU75" s="77"/>
      <c r="BV75" s="77"/>
      <c r="BW75" s="77"/>
      <c r="BX75" s="77"/>
      <c r="BY75" s="77"/>
      <c r="BZ75" s="77"/>
      <c r="CA75" s="77"/>
      <c r="CB75" s="77"/>
      <c r="CC75" s="77"/>
      <c r="CD75" s="77"/>
      <c r="CE75" s="77"/>
      <c r="CF75" s="77"/>
      <c r="CG75" s="77"/>
      <c r="CH75" s="77"/>
      <c r="CI75" s="77"/>
      <c r="CJ75" s="77"/>
      <c r="CK75" s="77"/>
      <c r="CL75" s="75"/>
      <c r="CM75" s="77"/>
      <c r="CN75" s="77"/>
      <c r="CO75" s="75"/>
      <c r="CP75" s="77"/>
      <c r="CQ75" s="77"/>
      <c r="CR75" s="77"/>
      <c r="CS75" s="77"/>
      <c r="CT75" s="77"/>
      <c r="CU75" s="77"/>
      <c r="CV75" s="77"/>
      <c r="CW75" s="77"/>
      <c r="CX75" s="96">
        <v>1</v>
      </c>
      <c r="CY75" s="96"/>
      <c r="CZ75" s="96"/>
      <c r="DA75" s="96"/>
      <c r="DB75" s="58"/>
      <c r="DC75" s="96"/>
      <c r="DD75" s="96"/>
      <c r="DE75" s="96"/>
      <c r="DF75" s="96"/>
      <c r="DG75" s="96"/>
      <c r="DH75" s="96"/>
      <c r="DI75" s="96"/>
      <c r="DJ75" s="96"/>
      <c r="DK75" s="96"/>
      <c r="DL75" s="96"/>
      <c r="DM75" s="96"/>
      <c r="DN75" s="96"/>
      <c r="DO75" s="96"/>
      <c r="DP75" s="96"/>
      <c r="DQ75" s="96"/>
      <c r="DR75" s="96">
        <v>1.9918990000000001</v>
      </c>
      <c r="DS75" s="96"/>
      <c r="DT75" s="96"/>
      <c r="DU75" s="96"/>
      <c r="DV75" s="96">
        <f t="shared" si="8"/>
        <v>10.4496</v>
      </c>
      <c r="DW75" s="96">
        <v>0.74639999999999995</v>
      </c>
      <c r="DX75" s="96"/>
      <c r="DY75" s="96"/>
      <c r="DZ75" s="96"/>
      <c r="EA75" s="96"/>
      <c r="EB75" s="96"/>
      <c r="EC75" s="96"/>
      <c r="ED75" s="96"/>
      <c r="EE75" s="96"/>
      <c r="EF75" s="96"/>
      <c r="EG75" s="96"/>
      <c r="EH75" s="96">
        <v>0.45845799999999998</v>
      </c>
      <c r="EI75" s="96"/>
      <c r="EJ75" s="96"/>
      <c r="EK75" s="96"/>
      <c r="EL75" s="96"/>
      <c r="EM75" s="96"/>
      <c r="EN75" s="96"/>
      <c r="EO75" s="96"/>
      <c r="EP75" s="58"/>
      <c r="EQ75" s="96"/>
      <c r="ER75" s="96"/>
      <c r="ES75" s="96"/>
      <c r="ET75" s="58"/>
      <c r="EU75" s="96"/>
      <c r="EV75" s="96"/>
      <c r="EW75" s="96"/>
      <c r="EX75" s="58"/>
      <c r="EY75" s="96"/>
      <c r="EZ75" s="96"/>
      <c r="FA75" s="96"/>
      <c r="FB75" s="96"/>
      <c r="FC75" s="96"/>
      <c r="FD75" s="96"/>
      <c r="FE75" s="96"/>
      <c r="FF75" s="96"/>
      <c r="FG75" s="96"/>
      <c r="FH75" s="96"/>
      <c r="FI75" s="96"/>
      <c r="FJ75" s="96"/>
      <c r="FK75" s="96"/>
      <c r="FL75" s="96"/>
      <c r="FM75" s="96"/>
      <c r="FN75" s="140"/>
      <c r="FO75" s="140"/>
      <c r="FP75" s="140"/>
      <c r="FQ75" s="14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5"/>
  <sheetViews>
    <sheetView workbookViewId="0">
      <selection activeCell="T10" sqref="T10"/>
    </sheetView>
  </sheetViews>
  <sheetFormatPr defaultColWidth="8.85546875" defaultRowHeight="15" outlineLevelCol="1" x14ac:dyDescent="0.25"/>
  <cols>
    <col min="1" max="1" width="17.42578125" style="1" bestFit="1" customWidth="1"/>
    <col min="2" max="2" width="20" style="1" bestFit="1" customWidth="1"/>
    <col min="3" max="4" width="22.7109375" style="1" hidden="1" customWidth="1" outlineLevel="1"/>
    <col min="5" max="5" width="33" style="1" hidden="1" customWidth="1" outlineLevel="1"/>
    <col min="6" max="6" width="20" style="1" bestFit="1" customWidth="1" collapsed="1"/>
    <col min="7" max="8" width="22.7109375" style="1" hidden="1" customWidth="1" outlineLevel="1"/>
    <col min="9" max="9" width="33" style="1" hidden="1" customWidth="1" outlineLevel="1"/>
    <col min="10" max="10" width="20" style="1" bestFit="1" customWidth="1" collapsed="1"/>
    <col min="11" max="12" width="22.7109375" style="1" hidden="1" customWidth="1" outlineLevel="1"/>
    <col min="13" max="13" width="33" style="1" hidden="1" customWidth="1" outlineLevel="1"/>
    <col min="14" max="14" width="20" style="1" bestFit="1" customWidth="1" collapsed="1"/>
    <col min="15" max="16" width="22.7109375" style="1" hidden="1" customWidth="1" outlineLevel="1"/>
    <col min="17" max="17" width="33" style="155" hidden="1" customWidth="1" outlineLevel="1"/>
    <col min="18" max="18" width="8.85546875" style="1" collapsed="1"/>
    <col min="19" max="16384" width="8.85546875" style="1"/>
  </cols>
  <sheetData>
    <row r="1" spans="1:17" x14ac:dyDescent="0.25">
      <c r="A1" s="15" t="s">
        <v>11</v>
      </c>
      <c r="B1" s="60" t="s">
        <v>60</v>
      </c>
      <c r="C1" s="60" t="s">
        <v>355</v>
      </c>
      <c r="D1" s="60" t="s">
        <v>356</v>
      </c>
      <c r="E1" s="60" t="s">
        <v>357</v>
      </c>
      <c r="F1" s="60" t="s">
        <v>60</v>
      </c>
      <c r="G1" s="60" t="s">
        <v>355</v>
      </c>
      <c r="H1" s="60" t="s">
        <v>356</v>
      </c>
      <c r="I1" s="60" t="s">
        <v>357</v>
      </c>
      <c r="J1" s="60" t="s">
        <v>60</v>
      </c>
      <c r="K1" s="60" t="s">
        <v>355</v>
      </c>
      <c r="L1" s="60" t="s">
        <v>356</v>
      </c>
      <c r="M1" s="60" t="s">
        <v>357</v>
      </c>
      <c r="N1" s="60" t="s">
        <v>60</v>
      </c>
      <c r="O1" s="60" t="s">
        <v>355</v>
      </c>
      <c r="P1" s="60" t="s">
        <v>356</v>
      </c>
      <c r="Q1" s="153" t="s">
        <v>357</v>
      </c>
    </row>
    <row r="2" spans="1:17" x14ac:dyDescent="0.25">
      <c r="A2" s="20" t="s">
        <v>53</v>
      </c>
      <c r="B2" s="59" t="s">
        <v>56</v>
      </c>
      <c r="C2" s="59"/>
      <c r="D2" s="59"/>
      <c r="E2" s="59"/>
      <c r="F2" s="59" t="s">
        <v>57</v>
      </c>
      <c r="G2" s="59"/>
      <c r="H2" s="59"/>
      <c r="I2" s="59"/>
      <c r="J2" s="59" t="s">
        <v>686</v>
      </c>
      <c r="K2" s="59"/>
      <c r="L2" s="59"/>
      <c r="M2" s="59"/>
      <c r="N2" s="59" t="s">
        <v>766</v>
      </c>
      <c r="O2" s="59"/>
      <c r="P2" s="59"/>
      <c r="Q2" s="154"/>
    </row>
    <row r="3" spans="1:17" x14ac:dyDescent="0.25">
      <c r="A3" s="17"/>
      <c r="B3" s="61" t="s">
        <v>2</v>
      </c>
      <c r="C3" s="60" t="s">
        <v>355</v>
      </c>
      <c r="D3" s="60" t="s">
        <v>356</v>
      </c>
      <c r="E3" s="60" t="s">
        <v>357</v>
      </c>
      <c r="F3" s="61" t="s">
        <v>2</v>
      </c>
      <c r="G3" s="60" t="s">
        <v>355</v>
      </c>
      <c r="H3" s="60" t="s">
        <v>356</v>
      </c>
      <c r="I3" s="60" t="s">
        <v>357</v>
      </c>
      <c r="J3" s="61" t="s">
        <v>2</v>
      </c>
      <c r="K3" s="60" t="s">
        <v>355</v>
      </c>
      <c r="L3" s="60" t="s">
        <v>356</v>
      </c>
      <c r="M3" s="60" t="s">
        <v>357</v>
      </c>
      <c r="N3" s="61" t="s">
        <v>2</v>
      </c>
      <c r="O3" s="60" t="s">
        <v>355</v>
      </c>
      <c r="P3" s="60" t="s">
        <v>356</v>
      </c>
      <c r="Q3" s="153" t="s">
        <v>357</v>
      </c>
    </row>
    <row r="4" spans="1:17" x14ac:dyDescent="0.25">
      <c r="A4" s="7" t="s">
        <v>61</v>
      </c>
      <c r="B4" s="11" t="s">
        <v>133</v>
      </c>
      <c r="C4" s="11"/>
      <c r="D4" s="11"/>
      <c r="E4" s="11"/>
      <c r="F4" s="11" t="s">
        <v>14</v>
      </c>
      <c r="G4" s="11"/>
      <c r="H4" s="11"/>
      <c r="I4" s="11"/>
      <c r="J4" s="11" t="s">
        <v>14</v>
      </c>
      <c r="K4" s="11"/>
      <c r="L4" s="11"/>
      <c r="M4" s="11"/>
      <c r="N4" s="11" t="s">
        <v>133</v>
      </c>
      <c r="O4" s="11"/>
      <c r="P4" s="11"/>
      <c r="Q4" s="152"/>
    </row>
    <row r="5" spans="1:17" ht="45" x14ac:dyDescent="0.25">
      <c r="A5" s="7" t="s">
        <v>54</v>
      </c>
      <c r="B5" s="11" t="s">
        <v>408</v>
      </c>
      <c r="C5" s="11"/>
      <c r="D5" s="11"/>
      <c r="E5" s="11"/>
      <c r="F5" s="11" t="s">
        <v>58</v>
      </c>
      <c r="G5" s="11"/>
      <c r="H5" s="11"/>
      <c r="I5" s="11"/>
      <c r="J5" s="11" t="s">
        <v>684</v>
      </c>
      <c r="K5" s="11"/>
      <c r="L5" s="11"/>
      <c r="M5" s="11"/>
      <c r="N5" s="11" t="s">
        <v>767</v>
      </c>
      <c r="O5" s="11"/>
      <c r="P5" s="11"/>
      <c r="Q5" s="152" t="s">
        <v>773</v>
      </c>
    </row>
    <row r="6" spans="1:17" x14ac:dyDescent="0.25">
      <c r="A6" s="17"/>
      <c r="B6" s="61" t="s">
        <v>2</v>
      </c>
      <c r="C6" s="60" t="s">
        <v>355</v>
      </c>
      <c r="D6" s="60" t="s">
        <v>356</v>
      </c>
      <c r="E6" s="60" t="s">
        <v>357</v>
      </c>
      <c r="F6" s="61" t="s">
        <v>2</v>
      </c>
      <c r="G6" s="60" t="s">
        <v>355</v>
      </c>
      <c r="H6" s="60" t="s">
        <v>356</v>
      </c>
      <c r="I6" s="60" t="s">
        <v>357</v>
      </c>
      <c r="J6" s="61" t="s">
        <v>2</v>
      </c>
      <c r="K6" s="60" t="s">
        <v>355</v>
      </c>
      <c r="L6" s="60" t="s">
        <v>356</v>
      </c>
      <c r="M6" s="60" t="s">
        <v>357</v>
      </c>
      <c r="N6" s="61" t="s">
        <v>2</v>
      </c>
      <c r="O6" s="60" t="s">
        <v>355</v>
      </c>
      <c r="P6" s="60" t="s">
        <v>356</v>
      </c>
      <c r="Q6" s="153" t="s">
        <v>357</v>
      </c>
    </row>
    <row r="7" spans="1:17" x14ac:dyDescent="0.25">
      <c r="A7" s="7" t="s">
        <v>61</v>
      </c>
      <c r="B7" s="11" t="s">
        <v>12</v>
      </c>
      <c r="C7" s="11"/>
      <c r="D7" s="11"/>
      <c r="E7" s="11"/>
      <c r="F7" s="11" t="s">
        <v>12</v>
      </c>
      <c r="G7" s="11"/>
      <c r="H7" s="11"/>
      <c r="I7" s="11"/>
      <c r="J7" s="11" t="s">
        <v>12</v>
      </c>
      <c r="K7" s="11"/>
      <c r="L7" s="11"/>
      <c r="M7" s="11"/>
      <c r="N7" s="11" t="s">
        <v>547</v>
      </c>
      <c r="O7" s="11"/>
      <c r="P7" s="11"/>
      <c r="Q7" s="152"/>
    </row>
    <row r="8" spans="1:17" ht="45" x14ac:dyDescent="0.25">
      <c r="A8" s="7" t="s">
        <v>54</v>
      </c>
      <c r="B8" s="11" t="s">
        <v>674</v>
      </c>
      <c r="C8" s="11" t="s">
        <v>680</v>
      </c>
      <c r="D8" s="11" t="s">
        <v>676</v>
      </c>
      <c r="E8" s="152" t="s">
        <v>677</v>
      </c>
      <c r="F8" s="11" t="s">
        <v>678</v>
      </c>
      <c r="G8" s="11" t="s">
        <v>681</v>
      </c>
      <c r="H8" s="11" t="s">
        <v>676</v>
      </c>
      <c r="I8" s="152" t="s">
        <v>677</v>
      </c>
      <c r="J8" s="11" t="s">
        <v>678</v>
      </c>
      <c r="K8" s="11"/>
      <c r="L8" s="11"/>
      <c r="M8" s="152"/>
      <c r="N8" s="11" t="s">
        <v>768</v>
      </c>
      <c r="O8" s="11"/>
      <c r="P8" s="11"/>
      <c r="Q8" s="152" t="s">
        <v>774</v>
      </c>
    </row>
    <row r="9" spans="1:17" x14ac:dyDescent="0.25">
      <c r="A9" s="17"/>
      <c r="B9" s="61" t="s">
        <v>2</v>
      </c>
      <c r="C9" s="60" t="s">
        <v>355</v>
      </c>
      <c r="D9" s="60" t="s">
        <v>356</v>
      </c>
      <c r="E9" s="60" t="s">
        <v>357</v>
      </c>
      <c r="F9" s="61" t="s">
        <v>2</v>
      </c>
      <c r="G9" s="60" t="s">
        <v>355</v>
      </c>
      <c r="H9" s="60" t="s">
        <v>356</v>
      </c>
      <c r="I9" s="60" t="s">
        <v>357</v>
      </c>
      <c r="J9" s="61" t="s">
        <v>2</v>
      </c>
      <c r="K9" s="60" t="s">
        <v>355</v>
      </c>
      <c r="L9" s="60" t="s">
        <v>356</v>
      </c>
      <c r="M9" s="60" t="s">
        <v>357</v>
      </c>
      <c r="N9" s="61" t="s">
        <v>2</v>
      </c>
      <c r="O9" s="60" t="s">
        <v>355</v>
      </c>
      <c r="P9" s="60" t="s">
        <v>356</v>
      </c>
      <c r="Q9" s="153" t="s">
        <v>357</v>
      </c>
    </row>
    <row r="10" spans="1:17" x14ac:dyDescent="0.25">
      <c r="A10" s="7" t="s">
        <v>61</v>
      </c>
      <c r="B10" s="11" t="s">
        <v>13</v>
      </c>
      <c r="C10" s="11"/>
      <c r="D10" s="11"/>
      <c r="E10" s="11"/>
      <c r="F10" s="11" t="s">
        <v>13</v>
      </c>
      <c r="G10" s="11"/>
      <c r="H10" s="11"/>
      <c r="I10" s="11"/>
      <c r="J10" s="11" t="s">
        <v>13</v>
      </c>
      <c r="K10" s="11"/>
      <c r="L10" s="11"/>
      <c r="M10" s="11"/>
      <c r="N10" s="11" t="s">
        <v>548</v>
      </c>
      <c r="O10" s="11"/>
      <c r="P10" s="11"/>
      <c r="Q10" s="152"/>
    </row>
    <row r="11" spans="1:17" ht="45" x14ac:dyDescent="0.25">
      <c r="A11" s="7" t="s">
        <v>54</v>
      </c>
      <c r="B11" s="11" t="s">
        <v>675</v>
      </c>
      <c r="C11" s="11" t="s">
        <v>682</v>
      </c>
      <c r="D11" s="11" t="s">
        <v>676</v>
      </c>
      <c r="E11" s="152" t="s">
        <v>677</v>
      </c>
      <c r="F11" s="11" t="s">
        <v>679</v>
      </c>
      <c r="G11" s="11" t="s">
        <v>683</v>
      </c>
      <c r="H11" s="11" t="s">
        <v>676</v>
      </c>
      <c r="I11" s="152" t="s">
        <v>677</v>
      </c>
      <c r="J11" s="11" t="s">
        <v>679</v>
      </c>
      <c r="K11" s="11"/>
      <c r="L11" s="11"/>
      <c r="M11" s="152"/>
      <c r="N11" s="11" t="s">
        <v>769</v>
      </c>
      <c r="O11" s="11"/>
      <c r="P11" s="11"/>
      <c r="Q11" s="152" t="s">
        <v>775</v>
      </c>
    </row>
    <row r="12" spans="1:17" x14ac:dyDescent="0.25">
      <c r="A12" s="17"/>
      <c r="B12" s="61" t="s">
        <v>2</v>
      </c>
      <c r="C12" s="60" t="s">
        <v>355</v>
      </c>
      <c r="D12" s="60" t="s">
        <v>356</v>
      </c>
      <c r="E12" s="60" t="s">
        <v>357</v>
      </c>
      <c r="F12" s="61" t="s">
        <v>2</v>
      </c>
      <c r="G12" s="60" t="s">
        <v>355</v>
      </c>
      <c r="H12" s="60" t="s">
        <v>356</v>
      </c>
      <c r="I12" s="60" t="s">
        <v>357</v>
      </c>
      <c r="J12" s="61" t="s">
        <v>2</v>
      </c>
      <c r="K12" s="60" t="s">
        <v>355</v>
      </c>
      <c r="L12" s="60" t="s">
        <v>356</v>
      </c>
      <c r="M12" s="60" t="s">
        <v>357</v>
      </c>
      <c r="N12" s="61" t="s">
        <v>2</v>
      </c>
      <c r="O12" s="60" t="s">
        <v>355</v>
      </c>
      <c r="P12" s="60" t="s">
        <v>356</v>
      </c>
      <c r="Q12" s="153" t="s">
        <v>357</v>
      </c>
    </row>
    <row r="13" spans="1:17" x14ac:dyDescent="0.25">
      <c r="A13" s="7" t="s">
        <v>61</v>
      </c>
      <c r="B13" s="11"/>
      <c r="C13" s="11"/>
      <c r="D13" s="11"/>
      <c r="E13" s="11"/>
      <c r="F13" s="11" t="s">
        <v>272</v>
      </c>
      <c r="G13" s="11"/>
      <c r="H13" s="11"/>
      <c r="I13" s="11"/>
      <c r="J13" s="11" t="s">
        <v>272</v>
      </c>
      <c r="K13" s="11"/>
      <c r="L13" s="11"/>
      <c r="M13" s="11"/>
      <c r="N13" s="11" t="s">
        <v>174</v>
      </c>
      <c r="O13" s="11"/>
      <c r="P13" s="11"/>
      <c r="Q13" s="152"/>
    </row>
    <row r="14" spans="1:17" ht="30" x14ac:dyDescent="0.25">
      <c r="A14" s="7" t="s">
        <v>54</v>
      </c>
      <c r="B14" s="11"/>
      <c r="C14" s="11"/>
      <c r="D14" s="11"/>
      <c r="E14" s="11"/>
      <c r="F14" s="11" t="s">
        <v>59</v>
      </c>
      <c r="G14" s="11"/>
      <c r="H14" s="11"/>
      <c r="I14" s="11"/>
      <c r="J14" s="11" t="s">
        <v>685</v>
      </c>
      <c r="K14" s="11"/>
      <c r="L14" s="11"/>
      <c r="M14" s="11"/>
      <c r="N14" s="11" t="s">
        <v>770</v>
      </c>
      <c r="O14" s="11"/>
      <c r="P14" s="11"/>
      <c r="Q14" s="152" t="s">
        <v>776</v>
      </c>
    </row>
    <row r="15" spans="1:17" x14ac:dyDescent="0.25">
      <c r="A15" s="17"/>
      <c r="B15" s="61" t="s">
        <v>2</v>
      </c>
      <c r="C15" s="60" t="s">
        <v>355</v>
      </c>
      <c r="D15" s="60" t="s">
        <v>356</v>
      </c>
      <c r="E15" s="60" t="s">
        <v>357</v>
      </c>
      <c r="F15" s="61" t="s">
        <v>2</v>
      </c>
      <c r="G15" s="60" t="s">
        <v>355</v>
      </c>
      <c r="H15" s="60" t="s">
        <v>356</v>
      </c>
      <c r="I15" s="60" t="s">
        <v>357</v>
      </c>
      <c r="J15" s="61" t="s">
        <v>2</v>
      </c>
      <c r="K15" s="60" t="s">
        <v>355</v>
      </c>
      <c r="L15" s="60" t="s">
        <v>356</v>
      </c>
      <c r="M15" s="60" t="s">
        <v>357</v>
      </c>
      <c r="N15" s="61" t="s">
        <v>2</v>
      </c>
      <c r="O15" s="60" t="s">
        <v>355</v>
      </c>
      <c r="P15" s="60" t="s">
        <v>356</v>
      </c>
      <c r="Q15" s="153" t="s">
        <v>357</v>
      </c>
    </row>
    <row r="16" spans="1:17" x14ac:dyDescent="0.25">
      <c r="A16" s="7" t="s">
        <v>61</v>
      </c>
      <c r="B16" s="11"/>
      <c r="C16" s="11"/>
      <c r="D16" s="11"/>
      <c r="E16" s="11"/>
      <c r="F16" s="11" t="s">
        <v>133</v>
      </c>
      <c r="G16" s="11"/>
      <c r="H16" s="11"/>
      <c r="I16" s="11"/>
      <c r="J16" s="11" t="s">
        <v>133</v>
      </c>
      <c r="K16" s="11"/>
      <c r="L16" s="11"/>
      <c r="M16" s="11"/>
      <c r="N16" s="11" t="s">
        <v>175</v>
      </c>
      <c r="O16" s="11"/>
      <c r="P16" s="11"/>
      <c r="Q16" s="152"/>
    </row>
    <row r="17" spans="1:17" ht="45" x14ac:dyDescent="0.25">
      <c r="A17" s="7" t="s">
        <v>54</v>
      </c>
      <c r="B17" s="11"/>
      <c r="C17" s="11"/>
      <c r="D17" s="11"/>
      <c r="E17" s="11"/>
      <c r="F17" s="11" t="s">
        <v>290</v>
      </c>
      <c r="G17" s="11"/>
      <c r="H17" s="11"/>
      <c r="I17" s="11"/>
      <c r="J17" s="11" t="s">
        <v>290</v>
      </c>
      <c r="K17" s="11"/>
      <c r="L17" s="11"/>
      <c r="M17" s="11"/>
      <c r="N17" s="11" t="s">
        <v>771</v>
      </c>
      <c r="O17" s="11"/>
      <c r="P17" s="11"/>
      <c r="Q17" s="152" t="s">
        <v>777</v>
      </c>
    </row>
    <row r="18" spans="1:17" x14ac:dyDescent="0.25">
      <c r="A18" s="17"/>
      <c r="B18" s="61" t="s">
        <v>2</v>
      </c>
      <c r="C18" s="60" t="s">
        <v>355</v>
      </c>
      <c r="D18" s="60" t="s">
        <v>356</v>
      </c>
      <c r="E18" s="60" t="s">
        <v>357</v>
      </c>
      <c r="F18" s="61" t="s">
        <v>2</v>
      </c>
      <c r="G18" s="60" t="s">
        <v>355</v>
      </c>
      <c r="H18" s="60" t="s">
        <v>356</v>
      </c>
      <c r="I18" s="60" t="s">
        <v>357</v>
      </c>
      <c r="J18" s="61" t="s">
        <v>2</v>
      </c>
      <c r="K18" s="60" t="s">
        <v>355</v>
      </c>
      <c r="L18" s="60" t="s">
        <v>356</v>
      </c>
      <c r="M18" s="60" t="s">
        <v>357</v>
      </c>
      <c r="N18" s="61" t="s">
        <v>2</v>
      </c>
      <c r="O18" s="60" t="s">
        <v>355</v>
      </c>
      <c r="P18" s="60" t="s">
        <v>356</v>
      </c>
      <c r="Q18" s="153" t="s">
        <v>357</v>
      </c>
    </row>
    <row r="19" spans="1:17" x14ac:dyDescent="0.25">
      <c r="A19" s="7" t="s">
        <v>61</v>
      </c>
      <c r="B19" s="11"/>
      <c r="C19" s="11"/>
      <c r="D19" s="11"/>
      <c r="E19" s="11"/>
      <c r="F19" s="11" t="s">
        <v>114</v>
      </c>
      <c r="G19" s="11"/>
      <c r="H19" s="11"/>
      <c r="I19" s="11"/>
      <c r="J19" s="11" t="s">
        <v>114</v>
      </c>
      <c r="K19" s="11"/>
      <c r="L19" s="11"/>
      <c r="M19" s="11"/>
      <c r="N19" s="11" t="s">
        <v>165</v>
      </c>
      <c r="O19" s="11"/>
      <c r="P19" s="11"/>
      <c r="Q19" s="152"/>
    </row>
    <row r="20" spans="1:17" ht="45" x14ac:dyDescent="0.25">
      <c r="A20" s="7" t="s">
        <v>54</v>
      </c>
      <c r="B20" s="11"/>
      <c r="C20" s="11"/>
      <c r="D20" s="11"/>
      <c r="E20" s="11"/>
      <c r="F20" s="11" t="s">
        <v>291</v>
      </c>
      <c r="G20" s="11"/>
      <c r="H20" s="11"/>
      <c r="I20" s="11"/>
      <c r="J20" s="11" t="s">
        <v>291</v>
      </c>
      <c r="K20" s="11"/>
      <c r="L20" s="11"/>
      <c r="M20" s="11"/>
      <c r="N20" s="11" t="s">
        <v>772</v>
      </c>
      <c r="O20" s="11"/>
      <c r="P20" s="11"/>
      <c r="Q20" s="152" t="s">
        <v>778</v>
      </c>
    </row>
    <row r="21" spans="1:17" x14ac:dyDescent="0.25">
      <c r="A21" s="17"/>
      <c r="B21" s="61" t="s">
        <v>2</v>
      </c>
      <c r="C21" s="60" t="s">
        <v>355</v>
      </c>
      <c r="D21" s="60" t="s">
        <v>356</v>
      </c>
      <c r="E21" s="60" t="s">
        <v>357</v>
      </c>
      <c r="F21" s="61" t="s">
        <v>2</v>
      </c>
      <c r="G21" s="60" t="s">
        <v>355</v>
      </c>
      <c r="H21" s="60" t="s">
        <v>356</v>
      </c>
      <c r="I21" s="60" t="s">
        <v>357</v>
      </c>
      <c r="J21" s="61" t="s">
        <v>2</v>
      </c>
      <c r="K21" s="60" t="s">
        <v>355</v>
      </c>
      <c r="L21" s="60" t="s">
        <v>356</v>
      </c>
      <c r="M21" s="60" t="s">
        <v>357</v>
      </c>
      <c r="N21" s="61" t="s">
        <v>2</v>
      </c>
      <c r="O21" s="60" t="s">
        <v>355</v>
      </c>
      <c r="P21" s="60" t="s">
        <v>356</v>
      </c>
      <c r="Q21" s="153" t="s">
        <v>357</v>
      </c>
    </row>
    <row r="22" spans="1:17" x14ac:dyDescent="0.25">
      <c r="A22" s="7" t="s">
        <v>61</v>
      </c>
      <c r="B22" s="11"/>
      <c r="C22" s="11"/>
      <c r="D22" s="11"/>
      <c r="E22" s="11"/>
      <c r="F22" s="11" t="s">
        <v>165</v>
      </c>
      <c r="G22" s="11"/>
      <c r="H22" s="11"/>
      <c r="I22" s="11"/>
      <c r="J22" s="11" t="s">
        <v>165</v>
      </c>
      <c r="K22" s="11"/>
      <c r="L22" s="11"/>
      <c r="M22" s="11"/>
      <c r="N22" s="11"/>
      <c r="O22" s="11"/>
      <c r="P22" s="11"/>
      <c r="Q22" s="152"/>
    </row>
    <row r="23" spans="1:17" x14ac:dyDescent="0.25">
      <c r="A23" s="7" t="s">
        <v>54</v>
      </c>
      <c r="B23" s="11"/>
      <c r="C23" s="11"/>
      <c r="D23" s="11"/>
      <c r="E23" s="11"/>
      <c r="F23" s="11" t="s">
        <v>292</v>
      </c>
      <c r="G23" s="11"/>
      <c r="H23" s="11"/>
      <c r="I23" s="11"/>
      <c r="J23" s="11" t="s">
        <v>292</v>
      </c>
      <c r="K23" s="11"/>
      <c r="L23" s="11"/>
      <c r="M23" s="11"/>
      <c r="N23" s="11"/>
      <c r="O23" s="11"/>
      <c r="P23" s="11"/>
      <c r="Q23" s="152"/>
    </row>
    <row r="24" spans="1:17" x14ac:dyDescent="0.25">
      <c r="A24" s="17"/>
      <c r="B24" s="61" t="s">
        <v>2</v>
      </c>
      <c r="C24" s="60" t="s">
        <v>355</v>
      </c>
      <c r="D24" s="60" t="s">
        <v>356</v>
      </c>
      <c r="E24" s="60" t="s">
        <v>357</v>
      </c>
      <c r="F24" s="61" t="s">
        <v>2</v>
      </c>
      <c r="G24" s="60" t="s">
        <v>355</v>
      </c>
      <c r="H24" s="60" t="s">
        <v>356</v>
      </c>
      <c r="I24" s="60" t="s">
        <v>357</v>
      </c>
      <c r="J24" s="61" t="s">
        <v>2</v>
      </c>
      <c r="K24" s="60" t="s">
        <v>355</v>
      </c>
      <c r="L24" s="60" t="s">
        <v>356</v>
      </c>
      <c r="M24" s="60" t="s">
        <v>357</v>
      </c>
      <c r="N24" s="61" t="s">
        <v>2</v>
      </c>
      <c r="O24" s="60" t="s">
        <v>355</v>
      </c>
      <c r="P24" s="60" t="s">
        <v>356</v>
      </c>
      <c r="Q24" s="153" t="s">
        <v>357</v>
      </c>
    </row>
    <row r="25" spans="1:17" x14ac:dyDescent="0.25">
      <c r="A25" s="7" t="s">
        <v>61</v>
      </c>
      <c r="B25" s="11"/>
      <c r="C25" s="11"/>
      <c r="D25" s="11"/>
      <c r="E25" s="11"/>
      <c r="F25" s="11" t="s">
        <v>168</v>
      </c>
      <c r="G25" s="11"/>
      <c r="H25" s="11"/>
      <c r="I25" s="11"/>
      <c r="J25" s="11" t="s">
        <v>168</v>
      </c>
      <c r="K25" s="11"/>
      <c r="L25" s="11"/>
      <c r="M25" s="11"/>
      <c r="N25" s="11"/>
      <c r="O25" s="11"/>
      <c r="P25" s="11"/>
      <c r="Q25" s="152"/>
    </row>
    <row r="26" spans="1:17" x14ac:dyDescent="0.25">
      <c r="A26" s="7" t="s">
        <v>54</v>
      </c>
      <c r="B26" s="11"/>
      <c r="C26" s="11"/>
      <c r="D26" s="11"/>
      <c r="E26" s="11"/>
      <c r="F26" s="11" t="s">
        <v>293</v>
      </c>
      <c r="G26" s="11"/>
      <c r="H26" s="11"/>
      <c r="I26" s="11"/>
      <c r="J26" s="11" t="s">
        <v>293</v>
      </c>
      <c r="K26" s="11"/>
      <c r="L26" s="11"/>
      <c r="M26" s="11"/>
      <c r="N26" s="11"/>
      <c r="O26" s="11"/>
      <c r="P26" s="11"/>
      <c r="Q26" s="152"/>
    </row>
    <row r="27" spans="1:17" x14ac:dyDescent="0.25">
      <c r="A27" s="17"/>
      <c r="B27" s="61" t="s">
        <v>2</v>
      </c>
      <c r="C27" s="60" t="s">
        <v>355</v>
      </c>
      <c r="D27" s="60" t="s">
        <v>356</v>
      </c>
      <c r="E27" s="60" t="s">
        <v>357</v>
      </c>
      <c r="F27" s="61" t="s">
        <v>2</v>
      </c>
      <c r="G27" s="60" t="s">
        <v>355</v>
      </c>
      <c r="H27" s="60" t="s">
        <v>356</v>
      </c>
      <c r="I27" s="60" t="s">
        <v>357</v>
      </c>
      <c r="J27" s="61" t="s">
        <v>2</v>
      </c>
      <c r="K27" s="60" t="s">
        <v>355</v>
      </c>
      <c r="L27" s="60" t="s">
        <v>356</v>
      </c>
      <c r="M27" s="60" t="s">
        <v>357</v>
      </c>
      <c r="N27" s="61" t="s">
        <v>2</v>
      </c>
      <c r="O27" s="60" t="s">
        <v>355</v>
      </c>
      <c r="P27" s="60" t="s">
        <v>356</v>
      </c>
      <c r="Q27" s="153" t="s">
        <v>357</v>
      </c>
    </row>
    <row r="28" spans="1:17" x14ac:dyDescent="0.25">
      <c r="A28" s="7" t="s">
        <v>61</v>
      </c>
      <c r="B28" s="11"/>
      <c r="C28" s="11"/>
      <c r="D28" s="11"/>
      <c r="E28" s="11"/>
      <c r="F28" s="11" t="s">
        <v>176</v>
      </c>
      <c r="G28" s="11"/>
      <c r="H28" s="11"/>
      <c r="I28" s="11"/>
      <c r="J28" s="11" t="s">
        <v>176</v>
      </c>
      <c r="K28" s="11"/>
      <c r="L28" s="11"/>
      <c r="M28" s="11"/>
      <c r="N28" s="11"/>
      <c r="O28" s="11"/>
      <c r="P28" s="11"/>
      <c r="Q28" s="152"/>
    </row>
    <row r="29" spans="1:17" x14ac:dyDescent="0.25">
      <c r="A29" s="7" t="s">
        <v>54</v>
      </c>
      <c r="B29" s="11"/>
      <c r="C29" s="11"/>
      <c r="D29" s="11"/>
      <c r="E29" s="11"/>
      <c r="F29" s="11" t="s">
        <v>294</v>
      </c>
      <c r="G29" s="11"/>
      <c r="H29" s="11"/>
      <c r="I29" s="11"/>
      <c r="J29" s="11" t="s">
        <v>294</v>
      </c>
      <c r="K29" s="11"/>
      <c r="L29" s="11"/>
      <c r="M29" s="11"/>
      <c r="N29" s="11"/>
      <c r="O29" s="11"/>
      <c r="P29" s="11"/>
      <c r="Q29" s="152"/>
    </row>
    <row r="30" spans="1:17" x14ac:dyDescent="0.25">
      <c r="A30" s="17"/>
      <c r="B30" s="61" t="s">
        <v>2</v>
      </c>
      <c r="C30" s="60" t="s">
        <v>355</v>
      </c>
      <c r="D30" s="60" t="s">
        <v>356</v>
      </c>
      <c r="E30" s="60" t="s">
        <v>357</v>
      </c>
      <c r="F30" s="61" t="s">
        <v>2</v>
      </c>
      <c r="G30" s="60" t="s">
        <v>355</v>
      </c>
      <c r="H30" s="60" t="s">
        <v>356</v>
      </c>
      <c r="I30" s="60" t="s">
        <v>357</v>
      </c>
      <c r="J30" s="61" t="s">
        <v>2</v>
      </c>
      <c r="K30" s="60" t="s">
        <v>355</v>
      </c>
      <c r="L30" s="60" t="s">
        <v>356</v>
      </c>
      <c r="M30" s="60" t="s">
        <v>357</v>
      </c>
      <c r="N30" s="61" t="s">
        <v>2</v>
      </c>
      <c r="O30" s="60" t="s">
        <v>355</v>
      </c>
      <c r="P30" s="60" t="s">
        <v>356</v>
      </c>
      <c r="Q30" s="153" t="s">
        <v>357</v>
      </c>
    </row>
    <row r="31" spans="1:17" x14ac:dyDescent="0.25">
      <c r="A31" s="7" t="s">
        <v>61</v>
      </c>
      <c r="B31" s="11"/>
      <c r="C31" s="11"/>
      <c r="D31" s="11"/>
      <c r="E31" s="11"/>
      <c r="F31" s="11" t="s">
        <v>174</v>
      </c>
      <c r="G31" s="11"/>
      <c r="H31" s="11"/>
      <c r="I31" s="11"/>
      <c r="J31" s="11" t="s">
        <v>174</v>
      </c>
      <c r="K31" s="11"/>
      <c r="L31" s="11"/>
      <c r="M31" s="11"/>
      <c r="N31" s="11"/>
      <c r="O31" s="11"/>
      <c r="P31" s="11"/>
      <c r="Q31" s="152"/>
    </row>
    <row r="32" spans="1:17" x14ac:dyDescent="0.25">
      <c r="A32" s="7" t="s">
        <v>54</v>
      </c>
      <c r="B32" s="11"/>
      <c r="C32" s="11"/>
      <c r="D32" s="11"/>
      <c r="E32" s="11"/>
      <c r="F32" s="11" t="s">
        <v>295</v>
      </c>
      <c r="G32" s="11"/>
      <c r="H32" s="11"/>
      <c r="I32" s="11"/>
      <c r="J32" s="11" t="s">
        <v>295</v>
      </c>
      <c r="K32" s="11"/>
      <c r="L32" s="11"/>
      <c r="M32" s="11"/>
      <c r="N32" s="11"/>
      <c r="O32" s="11"/>
      <c r="P32" s="11"/>
      <c r="Q32" s="152"/>
    </row>
    <row r="33" spans="1:17" x14ac:dyDescent="0.25">
      <c r="A33" s="17"/>
      <c r="B33" s="61" t="s">
        <v>2</v>
      </c>
      <c r="C33" s="60" t="s">
        <v>355</v>
      </c>
      <c r="D33" s="60" t="s">
        <v>356</v>
      </c>
      <c r="E33" s="60" t="s">
        <v>357</v>
      </c>
      <c r="F33" s="61" t="s">
        <v>2</v>
      </c>
      <c r="G33" s="60" t="s">
        <v>355</v>
      </c>
      <c r="H33" s="60" t="s">
        <v>356</v>
      </c>
      <c r="I33" s="60" t="s">
        <v>357</v>
      </c>
      <c r="J33" s="61" t="s">
        <v>2</v>
      </c>
      <c r="K33" s="60" t="s">
        <v>355</v>
      </c>
      <c r="L33" s="60" t="s">
        <v>356</v>
      </c>
      <c r="M33" s="60" t="s">
        <v>357</v>
      </c>
      <c r="N33" s="61" t="s">
        <v>2</v>
      </c>
      <c r="O33" s="60" t="s">
        <v>355</v>
      </c>
      <c r="P33" s="60" t="s">
        <v>356</v>
      </c>
      <c r="Q33" s="153" t="s">
        <v>357</v>
      </c>
    </row>
    <row r="34" spans="1:17" x14ac:dyDescent="0.25">
      <c r="A34" s="7" t="s">
        <v>61</v>
      </c>
      <c r="B34" s="11"/>
      <c r="C34" s="11"/>
      <c r="D34" s="11"/>
      <c r="E34" s="11"/>
      <c r="F34" s="11" t="s">
        <v>167</v>
      </c>
      <c r="G34" s="11"/>
      <c r="H34" s="11"/>
      <c r="I34" s="11"/>
      <c r="J34" s="11" t="s">
        <v>167</v>
      </c>
      <c r="K34" s="11"/>
      <c r="L34" s="11"/>
      <c r="M34" s="11"/>
      <c r="N34" s="11"/>
      <c r="O34" s="11"/>
      <c r="P34" s="11"/>
      <c r="Q34" s="152"/>
    </row>
    <row r="35" spans="1:17" x14ac:dyDescent="0.25">
      <c r="A35" s="7" t="s">
        <v>54</v>
      </c>
      <c r="B35" s="11"/>
      <c r="C35" s="11"/>
      <c r="D35" s="11"/>
      <c r="E35" s="11"/>
      <c r="F35" s="11" t="s">
        <v>296</v>
      </c>
      <c r="G35" s="11"/>
      <c r="H35" s="11"/>
      <c r="I35" s="11"/>
      <c r="J35" s="11" t="s">
        <v>296</v>
      </c>
      <c r="K35" s="11"/>
      <c r="L35" s="11"/>
      <c r="M35" s="11"/>
      <c r="N35" s="11"/>
      <c r="O35" s="11"/>
      <c r="P35" s="11"/>
      <c r="Q35" s="15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"/>
  <sheetViews>
    <sheetView workbookViewId="0">
      <pane xSplit="1" topLeftCell="H1" activePane="topRight" state="frozen"/>
      <selection pane="topRight" activeCell="M19" sqref="M19"/>
    </sheetView>
  </sheetViews>
  <sheetFormatPr defaultColWidth="9.140625" defaultRowHeight="15" x14ac:dyDescent="0.25"/>
  <cols>
    <col min="1" max="1" width="35.7109375" style="1" bestFit="1" customWidth="1"/>
    <col min="2" max="3" width="17.42578125" style="12" customWidth="1"/>
    <col min="4" max="5" width="23.7109375" style="1" customWidth="1"/>
    <col min="6" max="6" width="19.85546875" style="1" customWidth="1"/>
    <col min="7" max="7" width="19.28515625" style="1" customWidth="1"/>
    <col min="8" max="8" width="27.42578125" style="1" bestFit="1" customWidth="1"/>
    <col min="9" max="9" width="28.7109375" style="1" bestFit="1" customWidth="1"/>
    <col min="10" max="10" width="29.140625" style="1" bestFit="1" customWidth="1"/>
    <col min="11" max="11" width="19.85546875" style="1" bestFit="1" customWidth="1"/>
    <col min="12" max="12" width="21.42578125" style="1" customWidth="1"/>
    <col min="13" max="13" width="28.7109375" style="1" customWidth="1"/>
    <col min="14" max="14" width="28.140625" style="1" bestFit="1" customWidth="1"/>
    <col min="15" max="16384" width="9.140625" style="1"/>
  </cols>
  <sheetData>
    <row r="1" spans="1:14" x14ac:dyDescent="0.25">
      <c r="A1" s="17" t="s">
        <v>77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x14ac:dyDescent="0.25">
      <c r="A2" s="1" t="s">
        <v>0</v>
      </c>
      <c r="B2" s="2" t="s">
        <v>18</v>
      </c>
      <c r="C2" s="2" t="s">
        <v>105</v>
      </c>
      <c r="D2" s="2" t="s">
        <v>297</v>
      </c>
      <c r="E2" s="2" t="s">
        <v>298</v>
      </c>
      <c r="F2" s="2" t="s">
        <v>139</v>
      </c>
      <c r="G2" s="2" t="s">
        <v>142</v>
      </c>
      <c r="H2" s="2" t="s">
        <v>400</v>
      </c>
      <c r="I2" s="2" t="s">
        <v>401</v>
      </c>
      <c r="J2" s="2" t="s">
        <v>402</v>
      </c>
      <c r="K2" s="2" t="s">
        <v>309</v>
      </c>
      <c r="L2" s="2" t="s">
        <v>323</v>
      </c>
      <c r="M2" s="2" t="s">
        <v>624</v>
      </c>
      <c r="N2" s="2" t="s">
        <v>662</v>
      </c>
    </row>
    <row r="3" spans="1:14" x14ac:dyDescent="0.2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x14ac:dyDescent="0.25">
      <c r="A4" s="7" t="s">
        <v>88</v>
      </c>
      <c r="B4" s="11" t="s">
        <v>86</v>
      </c>
      <c r="C4" s="11" t="s">
        <v>106</v>
      </c>
      <c r="D4" s="11" t="s">
        <v>86</v>
      </c>
      <c r="E4" s="11" t="s">
        <v>86</v>
      </c>
      <c r="F4" s="11" t="s">
        <v>86</v>
      </c>
      <c r="G4" s="11" t="s">
        <v>106</v>
      </c>
      <c r="H4" s="11" t="s">
        <v>86</v>
      </c>
      <c r="I4" s="11" t="s">
        <v>86</v>
      </c>
      <c r="J4" s="11" t="s">
        <v>86</v>
      </c>
      <c r="K4" s="11" t="s">
        <v>86</v>
      </c>
      <c r="L4" s="11" t="s">
        <v>86</v>
      </c>
      <c r="M4" s="11" t="s">
        <v>86</v>
      </c>
      <c r="N4" s="11" t="s">
        <v>86</v>
      </c>
    </row>
    <row r="5" spans="1:14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4" x14ac:dyDescent="0.25">
      <c r="A6" s="9" t="s">
        <v>78</v>
      </c>
      <c r="B6" s="14" t="s">
        <v>98</v>
      </c>
      <c r="C6" s="14" t="s">
        <v>107</v>
      </c>
      <c r="D6" s="14" t="s">
        <v>284</v>
      </c>
      <c r="E6" s="14" t="s">
        <v>284</v>
      </c>
      <c r="F6" s="14" t="s">
        <v>140</v>
      </c>
      <c r="G6" s="14" t="s">
        <v>107</v>
      </c>
      <c r="H6" s="14" t="s">
        <v>107</v>
      </c>
      <c r="I6" s="14" t="s">
        <v>107</v>
      </c>
      <c r="J6" s="14" t="s">
        <v>107</v>
      </c>
      <c r="K6" s="14" t="s">
        <v>394</v>
      </c>
      <c r="L6" s="14" t="s">
        <v>107</v>
      </c>
      <c r="M6" s="14" t="s">
        <v>107</v>
      </c>
      <c r="N6" s="14" t="s">
        <v>98</v>
      </c>
    </row>
    <row r="7" spans="1:14" x14ac:dyDescent="0.25">
      <c r="A7" s="8" t="s">
        <v>79</v>
      </c>
      <c r="B7" s="14" t="s">
        <v>182</v>
      </c>
      <c r="C7" s="14" t="s">
        <v>108</v>
      </c>
      <c r="D7" s="14" t="s">
        <v>182</v>
      </c>
      <c r="E7" s="14" t="s">
        <v>182</v>
      </c>
      <c r="F7" s="14" t="s">
        <v>141</v>
      </c>
      <c r="G7" s="14" t="s">
        <v>108</v>
      </c>
      <c r="H7" s="14" t="s">
        <v>112</v>
      </c>
      <c r="I7" s="14" t="s">
        <v>403</v>
      </c>
      <c r="J7" s="14" t="s">
        <v>182</v>
      </c>
      <c r="K7" s="62" t="s">
        <v>313</v>
      </c>
      <c r="L7" s="62" t="s">
        <v>182</v>
      </c>
      <c r="M7" s="14" t="s">
        <v>660</v>
      </c>
      <c r="N7" s="14" t="s">
        <v>182</v>
      </c>
    </row>
    <row r="8" spans="1:14" x14ac:dyDescent="0.25">
      <c r="A8" s="8" t="s">
        <v>80</v>
      </c>
      <c r="B8" s="14" t="s">
        <v>97</v>
      </c>
      <c r="C8" s="14" t="s">
        <v>109</v>
      </c>
      <c r="D8" s="14" t="s">
        <v>399</v>
      </c>
      <c r="E8" s="14" t="s">
        <v>311</v>
      </c>
      <c r="F8" s="14" t="s">
        <v>97</v>
      </c>
      <c r="G8" s="14" t="s">
        <v>97</v>
      </c>
      <c r="H8" s="14" t="s">
        <v>310</v>
      </c>
      <c r="I8" s="14" t="s">
        <v>310</v>
      </c>
      <c r="J8" s="14" t="s">
        <v>310</v>
      </c>
      <c r="K8" s="14" t="s">
        <v>312</v>
      </c>
      <c r="L8" s="14" t="s">
        <v>312</v>
      </c>
      <c r="M8" s="14" t="s">
        <v>310</v>
      </c>
      <c r="N8" s="14" t="s">
        <v>97</v>
      </c>
    </row>
    <row r="9" spans="1:14" x14ac:dyDescent="0.25">
      <c r="A9" s="8" t="s">
        <v>81</v>
      </c>
      <c r="B9" s="14" t="s">
        <v>183</v>
      </c>
      <c r="C9" s="14" t="s">
        <v>110</v>
      </c>
      <c r="D9" s="14" t="s">
        <v>183</v>
      </c>
      <c r="E9" s="14" t="s">
        <v>183</v>
      </c>
      <c r="F9" s="14" t="s">
        <v>110</v>
      </c>
      <c r="G9" s="14" t="s">
        <v>110</v>
      </c>
      <c r="H9" s="14" t="s">
        <v>314</v>
      </c>
      <c r="I9" s="14" t="s">
        <v>314</v>
      </c>
      <c r="J9" s="14" t="s">
        <v>183</v>
      </c>
      <c r="K9" s="14" t="s">
        <v>395</v>
      </c>
      <c r="L9" s="14" t="s">
        <v>315</v>
      </c>
      <c r="M9" s="14" t="s">
        <v>314</v>
      </c>
      <c r="N9" s="14" t="s">
        <v>183</v>
      </c>
    </row>
    <row r="10" spans="1:14" x14ac:dyDescent="0.25">
      <c r="A10" s="8" t="s">
        <v>82</v>
      </c>
      <c r="B10" s="13">
        <v>0.95</v>
      </c>
      <c r="C10" s="13">
        <v>0.9</v>
      </c>
      <c r="D10" s="13">
        <v>0.9</v>
      </c>
      <c r="E10" s="13">
        <v>0.9</v>
      </c>
      <c r="F10" s="13">
        <v>0.9</v>
      </c>
      <c r="G10" s="13">
        <v>0.9</v>
      </c>
      <c r="H10" s="13">
        <v>0.9</v>
      </c>
      <c r="I10" s="13">
        <v>0.9</v>
      </c>
      <c r="J10" s="13">
        <v>0.9</v>
      </c>
      <c r="K10" s="13">
        <v>0.9</v>
      </c>
      <c r="L10" s="13">
        <v>0.9</v>
      </c>
      <c r="M10" s="13">
        <v>0.9</v>
      </c>
      <c r="N10" s="13">
        <v>0.95</v>
      </c>
    </row>
    <row r="11" spans="1:14" x14ac:dyDescent="0.25">
      <c r="A11" s="9" t="s">
        <v>83</v>
      </c>
      <c r="B11" s="14" t="s">
        <v>182</v>
      </c>
      <c r="C11" s="14" t="s">
        <v>111</v>
      </c>
      <c r="D11" s="14" t="s">
        <v>182</v>
      </c>
      <c r="E11" s="14" t="s">
        <v>182</v>
      </c>
      <c r="F11" s="14" t="s">
        <v>141</v>
      </c>
      <c r="G11" s="14" t="s">
        <v>111</v>
      </c>
      <c r="H11" s="14" t="s">
        <v>112</v>
      </c>
      <c r="I11" s="14" t="s">
        <v>403</v>
      </c>
      <c r="J11" s="14" t="s">
        <v>182</v>
      </c>
      <c r="K11" s="62" t="s">
        <v>313</v>
      </c>
      <c r="L11" s="62" t="s">
        <v>182</v>
      </c>
      <c r="M11" s="14" t="s">
        <v>660</v>
      </c>
      <c r="N11" s="14" t="s">
        <v>182</v>
      </c>
    </row>
    <row r="12" spans="1:14" x14ac:dyDescent="0.25">
      <c r="A12" s="9" t="s">
        <v>84</v>
      </c>
      <c r="B12" s="13">
        <v>0.6</v>
      </c>
      <c r="C12" s="13">
        <v>1</v>
      </c>
      <c r="D12" s="13">
        <v>0.5</v>
      </c>
      <c r="E12" s="13">
        <v>0.5</v>
      </c>
      <c r="F12" s="13">
        <v>0.45</v>
      </c>
      <c r="G12" s="13">
        <v>1</v>
      </c>
      <c r="H12" s="13">
        <v>0.5</v>
      </c>
      <c r="I12" s="13">
        <v>0.5</v>
      </c>
      <c r="J12" s="13">
        <v>0.5</v>
      </c>
      <c r="K12" s="13">
        <v>0.01</v>
      </c>
      <c r="L12" s="13">
        <v>0.5</v>
      </c>
      <c r="M12" s="13">
        <v>0.1</v>
      </c>
      <c r="N12" s="13">
        <v>0.6</v>
      </c>
    </row>
    <row r="13" spans="1:14" x14ac:dyDescent="0.25">
      <c r="A13" s="8" t="s">
        <v>85</v>
      </c>
      <c r="B13" s="14" t="s">
        <v>182</v>
      </c>
      <c r="C13" s="14" t="s">
        <v>112</v>
      </c>
      <c r="D13" s="14" t="s">
        <v>182</v>
      </c>
      <c r="E13" s="14" t="s">
        <v>182</v>
      </c>
      <c r="F13" s="14" t="s">
        <v>141</v>
      </c>
      <c r="G13" s="14" t="s">
        <v>112</v>
      </c>
      <c r="H13" s="14" t="s">
        <v>112</v>
      </c>
      <c r="I13" s="14" t="s">
        <v>403</v>
      </c>
      <c r="J13" s="14" t="s">
        <v>182</v>
      </c>
      <c r="K13" s="62" t="s">
        <v>313</v>
      </c>
      <c r="L13" s="62" t="s">
        <v>182</v>
      </c>
      <c r="M13" s="14" t="s">
        <v>660</v>
      </c>
      <c r="N13" s="14" t="s">
        <v>182</v>
      </c>
    </row>
    <row r="14" spans="1:14" x14ac:dyDescent="0.25">
      <c r="A14" s="16" t="s">
        <v>623</v>
      </c>
      <c r="B14" s="21" t="s">
        <v>622</v>
      </c>
      <c r="C14" s="21" t="s">
        <v>622</v>
      </c>
      <c r="D14" s="21" t="s">
        <v>622</v>
      </c>
      <c r="E14" s="21" t="s">
        <v>622</v>
      </c>
      <c r="F14" s="21" t="s">
        <v>622</v>
      </c>
      <c r="G14" s="21" t="s">
        <v>622</v>
      </c>
      <c r="H14" s="21" t="s">
        <v>622</v>
      </c>
      <c r="I14" s="21" t="s">
        <v>622</v>
      </c>
      <c r="J14" s="21" t="s">
        <v>622</v>
      </c>
      <c r="K14" s="21" t="s">
        <v>622</v>
      </c>
      <c r="L14" s="21" t="s">
        <v>622</v>
      </c>
      <c r="M14" s="21" t="s">
        <v>622</v>
      </c>
      <c r="N14" s="21" t="s">
        <v>622</v>
      </c>
    </row>
    <row r="15" spans="1:14" s="6" customFormat="1" x14ac:dyDescent="0.25">
      <c r="A15" s="10" t="s">
        <v>2</v>
      </c>
      <c r="B15" s="19" t="s">
        <v>87</v>
      </c>
      <c r="C15" s="19" t="s">
        <v>87</v>
      </c>
      <c r="D15" s="19" t="s">
        <v>87</v>
      </c>
      <c r="E15" s="19" t="s">
        <v>87</v>
      </c>
      <c r="F15" s="19" t="s">
        <v>87</v>
      </c>
      <c r="G15" s="19" t="s">
        <v>87</v>
      </c>
      <c r="H15" s="19" t="s">
        <v>87</v>
      </c>
      <c r="I15" s="19" t="s">
        <v>87</v>
      </c>
      <c r="J15" s="19" t="s">
        <v>87</v>
      </c>
      <c r="K15" s="19" t="s">
        <v>87</v>
      </c>
      <c r="L15" s="19" t="s">
        <v>87</v>
      </c>
      <c r="M15" s="19" t="s">
        <v>87</v>
      </c>
      <c r="N15" s="19" t="s">
        <v>87</v>
      </c>
    </row>
    <row r="16" spans="1:14" s="6" customFormat="1" x14ac:dyDescent="0.25">
      <c r="A16" s="10" t="s">
        <v>101</v>
      </c>
      <c r="B16" s="19">
        <v>0.78959999999999997</v>
      </c>
      <c r="C16" s="19">
        <v>0.79010000000000002</v>
      </c>
      <c r="D16" s="19">
        <v>0.78959999999999997</v>
      </c>
      <c r="E16" s="19">
        <v>0.79010000000000002</v>
      </c>
      <c r="F16" s="19">
        <v>0.79010000000000002</v>
      </c>
      <c r="G16" s="19">
        <v>0.79010000000000002</v>
      </c>
      <c r="H16" s="19">
        <v>0.79010000000000002</v>
      </c>
      <c r="I16" s="19">
        <v>0.79010000000000002</v>
      </c>
      <c r="J16" s="19">
        <v>0.79010000000000002</v>
      </c>
      <c r="K16" s="19">
        <v>0.79010000000000002</v>
      </c>
      <c r="L16" s="19">
        <v>0.79010000000000002</v>
      </c>
      <c r="M16" s="19">
        <v>0.79008</v>
      </c>
      <c r="N16" s="19">
        <v>0.78959979999999996</v>
      </c>
    </row>
    <row r="17" spans="1:14" x14ac:dyDescent="0.25">
      <c r="A17" s="16" t="s">
        <v>623</v>
      </c>
      <c r="B17" s="21" t="s">
        <v>622</v>
      </c>
      <c r="C17" s="21" t="s">
        <v>622</v>
      </c>
      <c r="D17" s="21" t="s">
        <v>622</v>
      </c>
      <c r="E17" s="21" t="s">
        <v>622</v>
      </c>
      <c r="F17" s="21" t="s">
        <v>622</v>
      </c>
      <c r="G17" s="21" t="s">
        <v>622</v>
      </c>
      <c r="H17" s="21" t="s">
        <v>622</v>
      </c>
      <c r="I17" s="21" t="s">
        <v>622</v>
      </c>
      <c r="J17" s="21" t="s">
        <v>622</v>
      </c>
      <c r="K17" s="21" t="s">
        <v>622</v>
      </c>
      <c r="L17" s="21" t="s">
        <v>622</v>
      </c>
      <c r="M17" s="21" t="s">
        <v>622</v>
      </c>
      <c r="N17" s="21" t="s">
        <v>622</v>
      </c>
    </row>
    <row r="18" spans="1:14" s="6" customFormat="1" x14ac:dyDescent="0.25">
      <c r="A18" s="10" t="s">
        <v>2</v>
      </c>
      <c r="B18" s="19" t="s">
        <v>12</v>
      </c>
      <c r="C18" s="19" t="s">
        <v>12</v>
      </c>
      <c r="D18" s="19" t="s">
        <v>12</v>
      </c>
      <c r="E18" s="19" t="s">
        <v>12</v>
      </c>
      <c r="F18" s="19" t="s">
        <v>12</v>
      </c>
      <c r="G18" s="19" t="s">
        <v>12</v>
      </c>
      <c r="H18" s="19" t="s">
        <v>12</v>
      </c>
      <c r="I18" s="19" t="s">
        <v>12</v>
      </c>
      <c r="J18" s="19" t="s">
        <v>12</v>
      </c>
      <c r="K18" s="19" t="s">
        <v>12</v>
      </c>
      <c r="L18" s="19" t="s">
        <v>12</v>
      </c>
      <c r="M18" s="19" t="s">
        <v>12</v>
      </c>
      <c r="N18" s="19" t="s">
        <v>12</v>
      </c>
    </row>
    <row r="19" spans="1:14" s="6" customFormat="1" x14ac:dyDescent="0.25">
      <c r="A19" s="10" t="s">
        <v>101</v>
      </c>
      <c r="B19" s="19">
        <v>0.21</v>
      </c>
      <c r="C19" s="19">
        <v>0.20949999999999999</v>
      </c>
      <c r="D19" s="19">
        <v>0.21</v>
      </c>
      <c r="E19" s="19">
        <v>0.20949999999999999</v>
      </c>
      <c r="F19" s="19">
        <v>0.20949999999999999</v>
      </c>
      <c r="G19" s="19">
        <v>0.20949999999999999</v>
      </c>
      <c r="H19" s="19">
        <v>0.20949999999999999</v>
      </c>
      <c r="I19" s="19">
        <v>0.20949999999999999</v>
      </c>
      <c r="J19" s="19">
        <v>0.20949999999999999</v>
      </c>
      <c r="K19" s="19">
        <v>0.20949999999999999</v>
      </c>
      <c r="L19" s="19">
        <v>0.20949999999999999</v>
      </c>
      <c r="M19" s="19">
        <v>0.20949999999999999</v>
      </c>
      <c r="N19" s="19">
        <v>0.21</v>
      </c>
    </row>
    <row r="20" spans="1:14" x14ac:dyDescent="0.25">
      <c r="A20" s="16" t="s">
        <v>623</v>
      </c>
      <c r="B20" s="21" t="s">
        <v>622</v>
      </c>
      <c r="C20" s="21" t="s">
        <v>622</v>
      </c>
      <c r="D20" s="21" t="s">
        <v>622</v>
      </c>
      <c r="E20" s="21" t="s">
        <v>622</v>
      </c>
      <c r="F20" s="21" t="s">
        <v>622</v>
      </c>
      <c r="G20" s="21" t="s">
        <v>622</v>
      </c>
      <c r="H20" s="21" t="s">
        <v>622</v>
      </c>
      <c r="I20" s="21" t="s">
        <v>622</v>
      </c>
      <c r="J20" s="21" t="s">
        <v>622</v>
      </c>
      <c r="K20" s="21" t="s">
        <v>622</v>
      </c>
      <c r="L20" s="21" t="s">
        <v>622</v>
      </c>
      <c r="M20" s="21" t="s">
        <v>622</v>
      </c>
      <c r="N20" s="21" t="s">
        <v>622</v>
      </c>
    </row>
    <row r="21" spans="1:14" s="6" customFormat="1" x14ac:dyDescent="0.25">
      <c r="A21" s="10" t="s">
        <v>2</v>
      </c>
      <c r="B21" s="19" t="s">
        <v>13</v>
      </c>
      <c r="C21" s="19" t="s">
        <v>13</v>
      </c>
      <c r="D21" s="19" t="s">
        <v>13</v>
      </c>
      <c r="E21" s="19" t="s">
        <v>13</v>
      </c>
      <c r="F21" s="19" t="s">
        <v>13</v>
      </c>
      <c r="G21" s="19" t="s">
        <v>13</v>
      </c>
      <c r="H21" s="19" t="s">
        <v>13</v>
      </c>
      <c r="I21" s="19" t="s">
        <v>13</v>
      </c>
      <c r="J21" s="19" t="s">
        <v>13</v>
      </c>
      <c r="K21" s="19" t="s">
        <v>13</v>
      </c>
      <c r="L21" s="19" t="s">
        <v>13</v>
      </c>
      <c r="M21" s="19" t="s">
        <v>13</v>
      </c>
      <c r="N21" s="19" t="s">
        <v>13</v>
      </c>
    </row>
    <row r="22" spans="1:14" s="6" customFormat="1" x14ac:dyDescent="0.25">
      <c r="A22" s="10" t="s">
        <v>101</v>
      </c>
      <c r="B22" s="19">
        <v>4.0000000000000002E-4</v>
      </c>
      <c r="C22" s="19">
        <v>4.0000000000000002E-4</v>
      </c>
      <c r="D22" s="19">
        <v>4.0000000000000002E-4</v>
      </c>
      <c r="E22" s="19">
        <v>4.0000000000000002E-4</v>
      </c>
      <c r="F22" s="19">
        <v>4.0000000000000002E-4</v>
      </c>
      <c r="G22" s="19">
        <v>4.0000000000000002E-4</v>
      </c>
      <c r="H22" s="19">
        <v>4.0000000000000002E-4</v>
      </c>
      <c r="I22" s="19">
        <v>4.0000000000000002E-4</v>
      </c>
      <c r="J22" s="19">
        <v>4.0000000000000002E-4</v>
      </c>
      <c r="K22" s="19">
        <v>4.0000000000000002E-4</v>
      </c>
      <c r="L22" s="19">
        <v>4.0000000000000002E-4</v>
      </c>
      <c r="M22" s="19">
        <v>4.0000000000000002E-4</v>
      </c>
      <c r="N22" s="19">
        <v>4.0000000000000002E-4</v>
      </c>
    </row>
    <row r="23" spans="1:14" x14ac:dyDescent="0.25">
      <c r="A23" s="16" t="s">
        <v>623</v>
      </c>
      <c r="B23" s="21" t="s">
        <v>622</v>
      </c>
      <c r="C23" s="21" t="s">
        <v>622</v>
      </c>
      <c r="D23" s="21" t="s">
        <v>622</v>
      </c>
      <c r="E23" s="21" t="s">
        <v>622</v>
      </c>
      <c r="F23" s="21" t="s">
        <v>622</v>
      </c>
      <c r="G23" s="21" t="s">
        <v>622</v>
      </c>
      <c r="H23" s="21" t="s">
        <v>622</v>
      </c>
      <c r="I23" s="21" t="s">
        <v>622</v>
      </c>
      <c r="J23" s="21" t="s">
        <v>622</v>
      </c>
      <c r="K23" s="21" t="s">
        <v>622</v>
      </c>
      <c r="L23" s="21" t="s">
        <v>622</v>
      </c>
      <c r="M23" s="21" t="s">
        <v>622</v>
      </c>
      <c r="N23" s="21" t="s">
        <v>622</v>
      </c>
    </row>
    <row r="24" spans="1:14" x14ac:dyDescent="0.25">
      <c r="A24" s="10" t="s">
        <v>2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 t="s">
        <v>619</v>
      </c>
      <c r="N24" s="19" t="s">
        <v>619</v>
      </c>
    </row>
    <row r="25" spans="1:14" x14ac:dyDescent="0.25">
      <c r="A25" s="10" t="s">
        <v>101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>
        <v>2.0000000000000002E-5</v>
      </c>
      <c r="N25" s="19">
        <v>1.9999999999999999E-7</v>
      </c>
    </row>
    <row r="26" spans="1:14" x14ac:dyDescent="0.25">
      <c r="A26" s="16" t="s">
        <v>625</v>
      </c>
      <c r="B26" s="21" t="s">
        <v>626</v>
      </c>
      <c r="C26" s="21" t="s">
        <v>626</v>
      </c>
      <c r="D26" s="21" t="s">
        <v>626</v>
      </c>
      <c r="E26" s="21" t="s">
        <v>626</v>
      </c>
      <c r="F26" s="21" t="s">
        <v>626</v>
      </c>
      <c r="G26" s="21" t="s">
        <v>626</v>
      </c>
      <c r="H26" s="21" t="s">
        <v>626</v>
      </c>
      <c r="I26" s="21" t="s">
        <v>626</v>
      </c>
      <c r="J26" s="21" t="s">
        <v>626</v>
      </c>
      <c r="K26" s="21" t="s">
        <v>626</v>
      </c>
      <c r="L26" s="21" t="s">
        <v>626</v>
      </c>
      <c r="M26" s="21" t="s">
        <v>626</v>
      </c>
      <c r="N26" s="21" t="s">
        <v>626</v>
      </c>
    </row>
    <row r="27" spans="1:14" x14ac:dyDescent="0.25">
      <c r="A27" s="10" t="s">
        <v>2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 t="s">
        <v>658</v>
      </c>
      <c r="N27" s="19"/>
    </row>
    <row r="28" spans="1:14" x14ac:dyDescent="0.25">
      <c r="A28" s="10" t="s">
        <v>54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 t="s">
        <v>659</v>
      </c>
      <c r="N28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selection activeCell="C5" sqref="C5"/>
    </sheetView>
  </sheetViews>
  <sheetFormatPr defaultColWidth="9.140625" defaultRowHeight="15" x14ac:dyDescent="0.25"/>
  <cols>
    <col min="1" max="1" width="35.7109375" style="1" bestFit="1" customWidth="1"/>
    <col min="2" max="4" width="17.42578125" style="12" customWidth="1"/>
    <col min="5" max="16384" width="9.140625" style="1"/>
  </cols>
  <sheetData>
    <row r="1" spans="1:4" x14ac:dyDescent="0.25">
      <c r="A1" s="17" t="s">
        <v>137</v>
      </c>
      <c r="B1" s="17"/>
      <c r="C1" s="17"/>
      <c r="D1" s="17"/>
    </row>
    <row r="2" spans="1:4" x14ac:dyDescent="0.25">
      <c r="A2" s="1" t="s">
        <v>0</v>
      </c>
      <c r="B2" s="2" t="s">
        <v>18</v>
      </c>
      <c r="C2" s="2" t="s">
        <v>134</v>
      </c>
      <c r="D2" s="2" t="s">
        <v>106</v>
      </c>
    </row>
    <row r="3" spans="1:4" x14ac:dyDescent="0.25">
      <c r="A3" s="17"/>
      <c r="B3" s="17"/>
      <c r="C3" s="17"/>
      <c r="D3" s="17"/>
    </row>
    <row r="4" spans="1:4" x14ac:dyDescent="0.25">
      <c r="A4" s="9" t="s">
        <v>131</v>
      </c>
      <c r="B4" s="14" t="s">
        <v>135</v>
      </c>
      <c r="C4" s="14" t="s">
        <v>274</v>
      </c>
      <c r="D4" s="14"/>
    </row>
    <row r="5" spans="1:4" x14ac:dyDescent="0.25">
      <c r="A5" s="9" t="s">
        <v>187</v>
      </c>
      <c r="B5" s="14" t="s">
        <v>690</v>
      </c>
      <c r="C5" s="14" t="s">
        <v>690</v>
      </c>
      <c r="D5" s="14"/>
    </row>
    <row r="6" spans="1:4" x14ac:dyDescent="0.25">
      <c r="A6" s="9" t="s">
        <v>132</v>
      </c>
      <c r="B6" s="14" t="s">
        <v>404</v>
      </c>
      <c r="C6" s="14" t="s">
        <v>273</v>
      </c>
      <c r="D6" s="14"/>
    </row>
    <row r="7" spans="1:4" x14ac:dyDescent="0.25">
      <c r="A7" s="9" t="s">
        <v>186</v>
      </c>
      <c r="B7" s="14" t="s">
        <v>188</v>
      </c>
      <c r="C7" s="14" t="s">
        <v>188</v>
      </c>
      <c r="D7" s="14"/>
    </row>
    <row r="8" spans="1:4" x14ac:dyDescent="0.25">
      <c r="A8" s="9" t="s">
        <v>55</v>
      </c>
      <c r="B8" s="14" t="s">
        <v>275</v>
      </c>
      <c r="C8" s="14" t="s">
        <v>275</v>
      </c>
      <c r="D8" s="14"/>
    </row>
    <row r="9" spans="1:4" x14ac:dyDescent="0.25">
      <c r="A9" s="9" t="s">
        <v>185</v>
      </c>
      <c r="B9" s="14" t="s">
        <v>189</v>
      </c>
      <c r="C9" s="14" t="s">
        <v>190</v>
      </c>
      <c r="D9" s="14"/>
    </row>
    <row r="10" spans="1:4" x14ac:dyDescent="0.25">
      <c r="A10" s="9" t="s">
        <v>174</v>
      </c>
      <c r="B10" s="14" t="s">
        <v>405</v>
      </c>
      <c r="C10" s="14" t="s">
        <v>277</v>
      </c>
      <c r="D10" s="14"/>
    </row>
    <row r="11" spans="1:4" x14ac:dyDescent="0.25">
      <c r="A11" s="9" t="s">
        <v>133</v>
      </c>
      <c r="B11" s="14" t="s">
        <v>406</v>
      </c>
      <c r="C11" s="14" t="s">
        <v>276</v>
      </c>
      <c r="D11" s="14"/>
    </row>
    <row r="12" spans="1:4" x14ac:dyDescent="0.25">
      <c r="A12" s="9" t="s">
        <v>106</v>
      </c>
      <c r="B12" s="14" t="s">
        <v>407</v>
      </c>
      <c r="C12" s="14" t="s">
        <v>138</v>
      </c>
      <c r="D12" s="14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"/>
  <sheetViews>
    <sheetView topLeftCell="A9" workbookViewId="0">
      <selection activeCell="B9" sqref="B9"/>
    </sheetView>
  </sheetViews>
  <sheetFormatPr defaultRowHeight="15" x14ac:dyDescent="0.25"/>
  <cols>
    <col min="1" max="1" width="15.7109375" bestFit="1" customWidth="1"/>
    <col min="2" max="2" width="241.42578125" customWidth="1"/>
    <col min="10" max="10" width="18.7109375" customWidth="1"/>
    <col min="15" max="15" width="9.140625" customWidth="1"/>
  </cols>
  <sheetData>
    <row r="1" spans="1:15" s="26" customFormat="1" ht="15.75" thickBot="1" x14ac:dyDescent="0.3">
      <c r="A1" s="26" t="s">
        <v>670</v>
      </c>
    </row>
    <row r="2" spans="1:15" s="30" customFormat="1" ht="60.75" thickBot="1" x14ac:dyDescent="0.3">
      <c r="A2" s="151" t="s">
        <v>669</v>
      </c>
      <c r="B2" s="150" t="s">
        <v>668</v>
      </c>
      <c r="C2" s="147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9"/>
    </row>
    <row r="3" spans="1:15" s="30" customFormat="1" x14ac:dyDescent="0.25">
      <c r="A3" s="30" t="s">
        <v>665</v>
      </c>
      <c r="B3" s="36">
        <v>3</v>
      </c>
      <c r="C3" s="162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4"/>
    </row>
    <row r="4" spans="1:15" s="30" customFormat="1" x14ac:dyDescent="0.25">
      <c r="A4" s="30" t="s">
        <v>749</v>
      </c>
      <c r="B4" s="36" t="s">
        <v>746</v>
      </c>
      <c r="C4" s="165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7"/>
    </row>
    <row r="5" spans="1:15" s="24" customFormat="1" ht="105" x14ac:dyDescent="0.25">
      <c r="A5" s="145" t="s">
        <v>666</v>
      </c>
      <c r="B5" s="146" t="s">
        <v>667</v>
      </c>
      <c r="C5" s="159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1"/>
    </row>
    <row r="6" spans="1:15" x14ac:dyDescent="0.25">
      <c r="A6" s="30" t="s">
        <v>749</v>
      </c>
      <c r="B6" s="36" t="s">
        <v>747</v>
      </c>
    </row>
    <row r="7" spans="1:15" ht="61.5" customHeight="1" x14ac:dyDescent="0.25">
      <c r="A7" s="145" t="s">
        <v>666</v>
      </c>
      <c r="B7" s="146" t="s">
        <v>750</v>
      </c>
    </row>
    <row r="8" spans="1:15" x14ac:dyDescent="0.25">
      <c r="A8" s="30" t="s">
        <v>749</v>
      </c>
      <c r="B8" s="36" t="s">
        <v>748</v>
      </c>
    </row>
    <row r="9" spans="1:15" ht="68.45" customHeight="1" x14ac:dyDescent="0.25">
      <c r="A9" s="145" t="s">
        <v>666</v>
      </c>
      <c r="B9" s="146" t="s">
        <v>751</v>
      </c>
    </row>
  </sheetData>
  <mergeCells count="2">
    <mergeCell ref="C5:O5"/>
    <mergeCell ref="C3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8"/>
  <sheetViews>
    <sheetView topLeftCell="A101" workbookViewId="0">
      <selection activeCell="B123" sqref="B123"/>
    </sheetView>
  </sheetViews>
  <sheetFormatPr defaultColWidth="9.140625" defaultRowHeight="15" x14ac:dyDescent="0.25"/>
  <cols>
    <col min="1" max="1" width="37.42578125" style="12" customWidth="1"/>
    <col min="2" max="2" width="21.42578125" style="12" customWidth="1"/>
    <col min="3" max="3" width="34.5703125" style="12" customWidth="1"/>
    <col min="4" max="4" width="22.140625" style="12" customWidth="1"/>
    <col min="5" max="5" width="16.7109375" style="12" customWidth="1"/>
    <col min="6" max="6" width="18.5703125" style="12" customWidth="1"/>
    <col min="7" max="16384" width="9.140625" style="1"/>
  </cols>
  <sheetData>
    <row r="1" spans="1:6" ht="15.75" thickBot="1" x14ac:dyDescent="0.3">
      <c r="A1" s="26" t="s">
        <v>148</v>
      </c>
      <c r="B1" s="27" t="s">
        <v>145</v>
      </c>
      <c r="C1" s="27" t="s">
        <v>143</v>
      </c>
      <c r="D1" s="27" t="s">
        <v>695</v>
      </c>
      <c r="E1" s="27" t="s">
        <v>146</v>
      </c>
      <c r="F1" s="27" t="s">
        <v>2</v>
      </c>
    </row>
    <row r="2" spans="1:6" x14ac:dyDescent="0.25">
      <c r="A2" s="30" t="s">
        <v>144</v>
      </c>
      <c r="B2" s="33">
        <v>4</v>
      </c>
      <c r="C2" s="30" t="s">
        <v>149</v>
      </c>
      <c r="D2" s="30" t="s">
        <v>696</v>
      </c>
      <c r="E2" s="30"/>
      <c r="F2" s="30"/>
    </row>
    <row r="3" spans="1:6" x14ac:dyDescent="0.25">
      <c r="A3" s="31" t="s">
        <v>144</v>
      </c>
      <c r="B3" s="33">
        <v>4</v>
      </c>
      <c r="C3" s="31" t="s">
        <v>150</v>
      </c>
      <c r="D3" s="30" t="s">
        <v>696</v>
      </c>
      <c r="E3" s="31"/>
      <c r="F3" s="31"/>
    </row>
    <row r="4" spans="1:6" x14ac:dyDescent="0.25">
      <c r="A4" s="31" t="s">
        <v>144</v>
      </c>
      <c r="B4" s="33">
        <v>4</v>
      </c>
      <c r="C4" s="31" t="s">
        <v>151</v>
      </c>
      <c r="D4" s="30" t="s">
        <v>696</v>
      </c>
      <c r="E4" s="31"/>
      <c r="F4" s="31"/>
    </row>
    <row r="5" spans="1:6" x14ac:dyDescent="0.25">
      <c r="A5" s="31" t="s">
        <v>144</v>
      </c>
      <c r="B5" s="33">
        <v>4</v>
      </c>
      <c r="C5" s="31" t="s">
        <v>152</v>
      </c>
      <c r="D5" s="30" t="s">
        <v>696</v>
      </c>
      <c r="E5" s="31"/>
      <c r="F5" s="31"/>
    </row>
    <row r="6" spans="1:6" x14ac:dyDescent="0.25">
      <c r="A6" s="31" t="s">
        <v>144</v>
      </c>
      <c r="B6" s="33">
        <v>0.25</v>
      </c>
      <c r="C6" s="31" t="s">
        <v>153</v>
      </c>
      <c r="D6" s="30" t="s">
        <v>696</v>
      </c>
      <c r="E6" s="31"/>
      <c r="F6" s="31"/>
    </row>
    <row r="7" spans="1:6" x14ac:dyDescent="0.25">
      <c r="A7" s="31" t="s">
        <v>144</v>
      </c>
      <c r="B7" s="33">
        <v>0.25</v>
      </c>
      <c r="C7" s="31" t="s">
        <v>154</v>
      </c>
      <c r="D7" s="30" t="s">
        <v>696</v>
      </c>
      <c r="E7" s="31"/>
      <c r="F7" s="31"/>
    </row>
    <row r="8" spans="1:6" x14ac:dyDescent="0.25">
      <c r="A8" s="31" t="s">
        <v>144</v>
      </c>
      <c r="B8" s="33">
        <v>0.25</v>
      </c>
      <c r="C8" s="31" t="s">
        <v>266</v>
      </c>
      <c r="D8" s="30" t="s">
        <v>696</v>
      </c>
      <c r="E8" s="31"/>
      <c r="F8" s="31"/>
    </row>
    <row r="9" spans="1:6" x14ac:dyDescent="0.25">
      <c r="A9" s="31" t="s">
        <v>144</v>
      </c>
      <c r="B9" s="33">
        <v>0.25</v>
      </c>
      <c r="C9" s="31" t="s">
        <v>267</v>
      </c>
      <c r="D9" s="30" t="s">
        <v>696</v>
      </c>
      <c r="E9" s="31"/>
      <c r="F9" s="31"/>
    </row>
    <row r="10" spans="1:6" x14ac:dyDescent="0.25">
      <c r="A10" s="24" t="s">
        <v>155</v>
      </c>
      <c r="B10" s="24" t="s">
        <v>159</v>
      </c>
      <c r="C10" s="25"/>
      <c r="D10" s="25"/>
      <c r="E10" s="25"/>
      <c r="F10" s="25"/>
    </row>
    <row r="11" spans="1:6" x14ac:dyDescent="0.25">
      <c r="A11" s="24" t="s">
        <v>156</v>
      </c>
      <c r="B11" s="24" t="s">
        <v>158</v>
      </c>
      <c r="C11" s="25"/>
      <c r="D11" s="25"/>
      <c r="E11" s="25"/>
      <c r="F11" s="25"/>
    </row>
    <row r="12" spans="1:6" ht="15.75" thickBot="1" x14ac:dyDescent="0.3">
      <c r="A12" s="28" t="s">
        <v>157</v>
      </c>
      <c r="B12" s="28" t="s">
        <v>588</v>
      </c>
      <c r="C12" s="29"/>
      <c r="D12" s="29"/>
      <c r="E12" s="29"/>
      <c r="F12" s="29"/>
    </row>
    <row r="13" spans="1:6" ht="15.75" thickBot="1" x14ac:dyDescent="0.3">
      <c r="A13" s="32" t="s">
        <v>161</v>
      </c>
      <c r="B13" s="32" t="s">
        <v>160</v>
      </c>
      <c r="C13" s="29"/>
      <c r="D13" s="29"/>
      <c r="E13" s="29"/>
      <c r="F13" s="29"/>
    </row>
    <row r="14" spans="1:6" ht="15.75" thickBot="1" x14ac:dyDescent="0.3">
      <c r="A14" s="22" t="s">
        <v>752</v>
      </c>
      <c r="B14" s="23" t="s">
        <v>145</v>
      </c>
      <c r="C14" s="23" t="s">
        <v>143</v>
      </c>
      <c r="D14" s="27" t="s">
        <v>695</v>
      </c>
      <c r="E14" s="23" t="s">
        <v>146</v>
      </c>
      <c r="F14" s="23" t="s">
        <v>2</v>
      </c>
    </row>
    <row r="15" spans="1:6" x14ac:dyDescent="0.25">
      <c r="A15" s="30" t="s">
        <v>144</v>
      </c>
      <c r="B15" s="33">
        <v>4</v>
      </c>
      <c r="C15" s="30" t="s">
        <v>149</v>
      </c>
      <c r="D15" s="30" t="s">
        <v>696</v>
      </c>
      <c r="E15" s="30"/>
      <c r="F15" s="30"/>
    </row>
    <row r="16" spans="1:6" x14ac:dyDescent="0.25">
      <c r="A16" s="31" t="s">
        <v>144</v>
      </c>
      <c r="B16" s="33">
        <v>4</v>
      </c>
      <c r="C16" s="31" t="s">
        <v>150</v>
      </c>
      <c r="D16" s="30" t="s">
        <v>696</v>
      </c>
      <c r="E16" s="31"/>
      <c r="F16" s="31"/>
    </row>
    <row r="17" spans="1:6" x14ac:dyDescent="0.25">
      <c r="A17" s="31" t="s">
        <v>144</v>
      </c>
      <c r="B17" s="33">
        <v>4</v>
      </c>
      <c r="C17" s="31" t="s">
        <v>151</v>
      </c>
      <c r="D17" s="30" t="s">
        <v>696</v>
      </c>
      <c r="E17" s="31"/>
      <c r="F17" s="31"/>
    </row>
    <row r="18" spans="1:6" x14ac:dyDescent="0.25">
      <c r="A18" s="31" t="s">
        <v>144</v>
      </c>
      <c r="B18" s="33">
        <v>4</v>
      </c>
      <c r="C18" s="31" t="s">
        <v>152</v>
      </c>
      <c r="D18" s="30" t="s">
        <v>696</v>
      </c>
      <c r="E18" s="31"/>
      <c r="F18" s="31"/>
    </row>
    <row r="19" spans="1:6" x14ac:dyDescent="0.25">
      <c r="A19" s="31" t="s">
        <v>144</v>
      </c>
      <c r="B19" s="33">
        <v>0.25</v>
      </c>
      <c r="C19" s="31" t="s">
        <v>153</v>
      </c>
      <c r="D19" s="30" t="s">
        <v>696</v>
      </c>
      <c r="E19" s="31"/>
      <c r="F19" s="31"/>
    </row>
    <row r="20" spans="1:6" x14ac:dyDescent="0.25">
      <c r="A20" s="31" t="s">
        <v>144</v>
      </c>
      <c r="B20" s="33">
        <v>0.25</v>
      </c>
      <c r="C20" s="31" t="s">
        <v>154</v>
      </c>
      <c r="D20" s="30" t="s">
        <v>696</v>
      </c>
      <c r="E20" s="31"/>
      <c r="F20" s="31"/>
    </row>
    <row r="21" spans="1:6" x14ac:dyDescent="0.25">
      <c r="A21" s="31" t="s">
        <v>144</v>
      </c>
      <c r="B21" s="33">
        <v>0.25</v>
      </c>
      <c r="C21" s="31" t="s">
        <v>586</v>
      </c>
      <c r="D21" s="30" t="s">
        <v>696</v>
      </c>
      <c r="E21" s="31"/>
      <c r="F21" s="31"/>
    </row>
    <row r="22" spans="1:6" x14ac:dyDescent="0.25">
      <c r="A22" s="31" t="s">
        <v>144</v>
      </c>
      <c r="B22" s="33">
        <v>0.25</v>
      </c>
      <c r="C22" s="31" t="s">
        <v>587</v>
      </c>
      <c r="D22" s="30" t="s">
        <v>696</v>
      </c>
      <c r="E22" s="31"/>
      <c r="F22" s="31"/>
    </row>
    <row r="23" spans="1:6" x14ac:dyDescent="0.25">
      <c r="A23" s="31" t="s">
        <v>144</v>
      </c>
      <c r="B23" s="33">
        <v>0.25</v>
      </c>
      <c r="C23" s="31" t="s">
        <v>266</v>
      </c>
      <c r="D23" s="30" t="s">
        <v>696</v>
      </c>
      <c r="E23" s="31"/>
      <c r="F23" s="31"/>
    </row>
    <row r="24" spans="1:6" x14ac:dyDescent="0.25">
      <c r="A24" s="31" t="s">
        <v>144</v>
      </c>
      <c r="B24" s="33">
        <v>0.25</v>
      </c>
      <c r="C24" s="31" t="s">
        <v>267</v>
      </c>
      <c r="D24" s="30" t="s">
        <v>696</v>
      </c>
      <c r="E24" s="31"/>
      <c r="F24" s="31"/>
    </row>
    <row r="25" spans="1:6" x14ac:dyDescent="0.25">
      <c r="A25" s="24" t="s">
        <v>155</v>
      </c>
      <c r="B25" s="24" t="s">
        <v>159</v>
      </c>
      <c r="C25" s="25"/>
      <c r="D25" s="25"/>
      <c r="E25" s="25"/>
      <c r="F25" s="25"/>
    </row>
    <row r="26" spans="1:6" x14ac:dyDescent="0.25">
      <c r="A26" s="24" t="s">
        <v>156</v>
      </c>
      <c r="B26" s="24" t="s">
        <v>158</v>
      </c>
      <c r="C26" s="25"/>
      <c r="D26" s="25"/>
      <c r="E26" s="25"/>
      <c r="F26" s="25"/>
    </row>
    <row r="27" spans="1:6" ht="15.75" thickBot="1" x14ac:dyDescent="0.3">
      <c r="A27" s="24" t="s">
        <v>157</v>
      </c>
      <c r="B27" s="28" t="s">
        <v>588</v>
      </c>
      <c r="C27" s="25"/>
      <c r="D27" s="25"/>
      <c r="E27" s="25"/>
      <c r="F27" s="25"/>
    </row>
    <row r="28" spans="1:6" ht="15.75" thickBot="1" x14ac:dyDescent="0.3">
      <c r="A28" s="32" t="s">
        <v>161</v>
      </c>
      <c r="B28" s="32" t="s">
        <v>160</v>
      </c>
      <c r="C28" s="29"/>
      <c r="D28" s="29"/>
      <c r="E28" s="29"/>
      <c r="F28" s="29"/>
    </row>
    <row r="29" spans="1:6" ht="15.75" thickBot="1" x14ac:dyDescent="0.3">
      <c r="A29" s="22" t="s">
        <v>753</v>
      </c>
      <c r="B29" s="23" t="s">
        <v>145</v>
      </c>
      <c r="C29" s="23" t="s">
        <v>143</v>
      </c>
      <c r="D29" s="27" t="s">
        <v>695</v>
      </c>
      <c r="E29" s="23" t="s">
        <v>146</v>
      </c>
      <c r="F29" s="23" t="s">
        <v>2</v>
      </c>
    </row>
    <row r="30" spans="1:6" x14ac:dyDescent="0.25">
      <c r="A30" s="30" t="s">
        <v>144</v>
      </c>
      <c r="B30" s="33">
        <v>4</v>
      </c>
      <c r="C30" s="30" t="s">
        <v>149</v>
      </c>
      <c r="D30" s="30" t="s">
        <v>696</v>
      </c>
      <c r="E30" s="30"/>
      <c r="F30" s="30"/>
    </row>
    <row r="31" spans="1:6" x14ac:dyDescent="0.25">
      <c r="A31" s="31" t="s">
        <v>144</v>
      </c>
      <c r="B31" s="33">
        <v>4</v>
      </c>
      <c r="C31" s="31" t="s">
        <v>150</v>
      </c>
      <c r="D31" s="30" t="s">
        <v>696</v>
      </c>
      <c r="E31" s="31"/>
      <c r="F31" s="31"/>
    </row>
    <row r="32" spans="1:6" x14ac:dyDescent="0.25">
      <c r="A32" s="31" t="s">
        <v>144</v>
      </c>
      <c r="B32" s="33">
        <v>4</v>
      </c>
      <c r="C32" s="31" t="s">
        <v>151</v>
      </c>
      <c r="D32" s="30" t="s">
        <v>696</v>
      </c>
      <c r="E32" s="31"/>
      <c r="F32" s="31"/>
    </row>
    <row r="33" spans="1:6" x14ac:dyDescent="0.25">
      <c r="A33" s="31" t="s">
        <v>144</v>
      </c>
      <c r="B33" s="33">
        <v>4</v>
      </c>
      <c r="C33" s="31" t="s">
        <v>152</v>
      </c>
      <c r="D33" s="30" t="s">
        <v>696</v>
      </c>
      <c r="E33" s="31"/>
      <c r="F33" s="31"/>
    </row>
    <row r="34" spans="1:6" x14ac:dyDescent="0.25">
      <c r="A34" s="31" t="s">
        <v>144</v>
      </c>
      <c r="B34" s="33">
        <v>0.25</v>
      </c>
      <c r="C34" s="31" t="s">
        <v>153</v>
      </c>
      <c r="D34" s="30" t="s">
        <v>696</v>
      </c>
      <c r="E34" s="31"/>
      <c r="F34" s="31"/>
    </row>
    <row r="35" spans="1:6" x14ac:dyDescent="0.25">
      <c r="A35" s="31" t="s">
        <v>144</v>
      </c>
      <c r="B35" s="33">
        <v>0.25</v>
      </c>
      <c r="C35" s="31" t="s">
        <v>154</v>
      </c>
      <c r="D35" s="30" t="s">
        <v>696</v>
      </c>
      <c r="E35" s="31"/>
      <c r="F35" s="31"/>
    </row>
    <row r="36" spans="1:6" x14ac:dyDescent="0.25">
      <c r="A36" s="31" t="s">
        <v>144</v>
      </c>
      <c r="B36" s="33">
        <v>0.25</v>
      </c>
      <c r="C36" s="31" t="s">
        <v>586</v>
      </c>
      <c r="D36" s="30" t="s">
        <v>696</v>
      </c>
      <c r="E36" s="31"/>
      <c r="F36" s="31"/>
    </row>
    <row r="37" spans="1:6" x14ac:dyDescent="0.25">
      <c r="A37" s="31" t="s">
        <v>144</v>
      </c>
      <c r="B37" s="33">
        <v>0.25</v>
      </c>
      <c r="C37" s="31" t="s">
        <v>587</v>
      </c>
      <c r="D37" s="30" t="s">
        <v>696</v>
      </c>
      <c r="E37" s="31"/>
      <c r="F37" s="31"/>
    </row>
    <row r="38" spans="1:6" x14ac:dyDescent="0.25">
      <c r="A38" s="31" t="s">
        <v>144</v>
      </c>
      <c r="B38" s="33">
        <v>0.25</v>
      </c>
      <c r="C38" s="31" t="s">
        <v>266</v>
      </c>
      <c r="D38" s="30" t="s">
        <v>696</v>
      </c>
      <c r="E38" s="31"/>
      <c r="F38" s="31"/>
    </row>
    <row r="39" spans="1:6" x14ac:dyDescent="0.25">
      <c r="A39" s="31" t="s">
        <v>144</v>
      </c>
      <c r="B39" s="33">
        <v>0.25</v>
      </c>
      <c r="C39" s="31" t="s">
        <v>267</v>
      </c>
      <c r="D39" s="30" t="s">
        <v>696</v>
      </c>
      <c r="E39" s="31"/>
      <c r="F39" s="31"/>
    </row>
    <row r="40" spans="1:6" x14ac:dyDescent="0.25">
      <c r="A40" s="24" t="s">
        <v>155</v>
      </c>
      <c r="B40" s="24" t="s">
        <v>159</v>
      </c>
      <c r="C40" s="25"/>
      <c r="D40" s="25"/>
      <c r="E40" s="25"/>
      <c r="F40" s="25"/>
    </row>
    <row r="41" spans="1:6" x14ac:dyDescent="0.25">
      <c r="A41" s="24" t="s">
        <v>156</v>
      </c>
      <c r="B41" s="24" t="s">
        <v>158</v>
      </c>
      <c r="C41" s="25"/>
      <c r="D41" s="25"/>
      <c r="E41" s="25"/>
      <c r="F41" s="25"/>
    </row>
    <row r="42" spans="1:6" ht="15.75" thickBot="1" x14ac:dyDescent="0.3">
      <c r="A42" s="24" t="s">
        <v>157</v>
      </c>
      <c r="B42" s="28" t="s">
        <v>588</v>
      </c>
      <c r="C42" s="25"/>
      <c r="D42" s="25"/>
      <c r="E42" s="25"/>
      <c r="F42" s="25"/>
    </row>
    <row r="43" spans="1:6" ht="15.75" thickBot="1" x14ac:dyDescent="0.3">
      <c r="A43" s="32" t="s">
        <v>161</v>
      </c>
      <c r="B43" s="32" t="s">
        <v>160</v>
      </c>
      <c r="C43" s="29"/>
      <c r="D43" s="29"/>
      <c r="E43" s="29"/>
      <c r="F43" s="29"/>
    </row>
    <row r="44" spans="1:6" ht="15.75" thickBot="1" x14ac:dyDescent="0.3">
      <c r="A44" s="26" t="s">
        <v>754</v>
      </c>
      <c r="B44" s="27" t="s">
        <v>145</v>
      </c>
      <c r="C44" s="27" t="s">
        <v>143</v>
      </c>
      <c r="D44" s="27" t="s">
        <v>695</v>
      </c>
      <c r="E44" s="27" t="s">
        <v>146</v>
      </c>
      <c r="F44" s="27" t="s">
        <v>2</v>
      </c>
    </row>
    <row r="45" spans="1:6" x14ac:dyDescent="0.25">
      <c r="A45" s="30" t="s">
        <v>144</v>
      </c>
      <c r="B45" s="33">
        <v>4</v>
      </c>
      <c r="C45" s="30" t="s">
        <v>149</v>
      </c>
      <c r="D45" s="30" t="s">
        <v>696</v>
      </c>
      <c r="E45" s="30"/>
      <c r="F45" s="30"/>
    </row>
    <row r="46" spans="1:6" x14ac:dyDescent="0.25">
      <c r="A46" s="30" t="s">
        <v>144</v>
      </c>
      <c r="B46" s="33">
        <v>4</v>
      </c>
      <c r="C46" s="31" t="s">
        <v>150</v>
      </c>
      <c r="D46" s="30" t="s">
        <v>696</v>
      </c>
      <c r="E46" s="30"/>
      <c r="F46" s="30"/>
    </row>
    <row r="47" spans="1:6" x14ac:dyDescent="0.25">
      <c r="A47" s="30" t="s">
        <v>144</v>
      </c>
      <c r="B47" s="33">
        <v>4</v>
      </c>
      <c r="C47" s="31" t="s">
        <v>151</v>
      </c>
      <c r="D47" s="30" t="s">
        <v>696</v>
      </c>
      <c r="E47" s="30"/>
      <c r="F47" s="30"/>
    </row>
    <row r="48" spans="1:6" x14ac:dyDescent="0.25">
      <c r="A48" s="31" t="s">
        <v>144</v>
      </c>
      <c r="B48" s="33">
        <v>4</v>
      </c>
      <c r="C48" s="31" t="s">
        <v>152</v>
      </c>
      <c r="D48" s="30" t="s">
        <v>696</v>
      </c>
      <c r="E48" s="31"/>
      <c r="F48" s="31"/>
    </row>
    <row r="49" spans="1:6" x14ac:dyDescent="0.25">
      <c r="A49" s="31" t="s">
        <v>144</v>
      </c>
      <c r="B49" s="33">
        <v>0.25</v>
      </c>
      <c r="C49" s="31" t="s">
        <v>153</v>
      </c>
      <c r="D49" s="30" t="s">
        <v>696</v>
      </c>
      <c r="E49" s="31"/>
      <c r="F49" s="31"/>
    </row>
    <row r="50" spans="1:6" x14ac:dyDescent="0.25">
      <c r="A50" s="31" t="s">
        <v>144</v>
      </c>
      <c r="B50" s="33">
        <v>0.25</v>
      </c>
      <c r="C50" s="31" t="s">
        <v>154</v>
      </c>
      <c r="D50" s="30" t="s">
        <v>696</v>
      </c>
      <c r="E50" s="31"/>
      <c r="F50" s="31"/>
    </row>
    <row r="51" spans="1:6" x14ac:dyDescent="0.25">
      <c r="A51" s="31" t="s">
        <v>144</v>
      </c>
      <c r="B51" s="33">
        <v>0.25</v>
      </c>
      <c r="C51" s="31" t="s">
        <v>586</v>
      </c>
      <c r="D51" s="30" t="s">
        <v>696</v>
      </c>
      <c r="E51" s="31"/>
      <c r="F51" s="31"/>
    </row>
    <row r="52" spans="1:6" x14ac:dyDescent="0.25">
      <c r="A52" s="31" t="s">
        <v>144</v>
      </c>
      <c r="B52" s="33">
        <v>0.25</v>
      </c>
      <c r="C52" s="31" t="s">
        <v>587</v>
      </c>
      <c r="D52" s="30" t="s">
        <v>696</v>
      </c>
      <c r="E52" s="31"/>
      <c r="F52" s="31"/>
    </row>
    <row r="53" spans="1:6" x14ac:dyDescent="0.25">
      <c r="A53" s="31" t="s">
        <v>144</v>
      </c>
      <c r="B53" s="33">
        <v>0.25</v>
      </c>
      <c r="C53" s="31" t="s">
        <v>266</v>
      </c>
      <c r="D53" s="30" t="s">
        <v>696</v>
      </c>
      <c r="E53" s="31"/>
      <c r="F53" s="31"/>
    </row>
    <row r="54" spans="1:6" x14ac:dyDescent="0.25">
      <c r="A54" s="31" t="s">
        <v>144</v>
      </c>
      <c r="B54" s="33">
        <v>0.25</v>
      </c>
      <c r="C54" s="31" t="s">
        <v>267</v>
      </c>
      <c r="D54" s="30" t="s">
        <v>696</v>
      </c>
      <c r="E54" s="31"/>
      <c r="F54" s="31"/>
    </row>
    <row r="55" spans="1:6" x14ac:dyDescent="0.25">
      <c r="A55" s="24" t="s">
        <v>155</v>
      </c>
      <c r="B55" s="24" t="s">
        <v>159</v>
      </c>
      <c r="C55" s="25"/>
      <c r="D55" s="25"/>
      <c r="E55" s="25"/>
      <c r="F55" s="25"/>
    </row>
    <row r="56" spans="1:6" x14ac:dyDescent="0.25">
      <c r="A56" s="24" t="s">
        <v>156</v>
      </c>
      <c r="B56" s="24" t="s">
        <v>158</v>
      </c>
      <c r="C56" s="25"/>
      <c r="D56" s="25"/>
      <c r="E56" s="25"/>
      <c r="F56" s="25"/>
    </row>
    <row r="57" spans="1:6" ht="15.75" thickBot="1" x14ac:dyDescent="0.3">
      <c r="A57" s="28" t="s">
        <v>157</v>
      </c>
      <c r="B57" s="28" t="s">
        <v>588</v>
      </c>
      <c r="C57" s="29"/>
      <c r="D57" s="29"/>
      <c r="E57" s="29"/>
      <c r="F57" s="29"/>
    </row>
    <row r="58" spans="1:6" ht="15.75" thickBot="1" x14ac:dyDescent="0.3">
      <c r="A58" s="32" t="s">
        <v>161</v>
      </c>
      <c r="B58" s="32" t="s">
        <v>160</v>
      </c>
      <c r="C58" s="29"/>
      <c r="D58" s="29"/>
      <c r="E58" s="29"/>
      <c r="F58" s="29"/>
    </row>
    <row r="59" spans="1:6" ht="15.75" thickBot="1" x14ac:dyDescent="0.3">
      <c r="A59" s="22" t="s">
        <v>755</v>
      </c>
      <c r="B59" s="23" t="s">
        <v>145</v>
      </c>
      <c r="C59" s="23" t="s">
        <v>143</v>
      </c>
      <c r="D59" s="27" t="s">
        <v>695</v>
      </c>
      <c r="E59" s="23" t="s">
        <v>146</v>
      </c>
      <c r="F59" s="23" t="s">
        <v>2</v>
      </c>
    </row>
    <row r="60" spans="1:6" x14ac:dyDescent="0.25">
      <c r="A60" s="30" t="s">
        <v>144</v>
      </c>
      <c r="B60" s="33">
        <v>4</v>
      </c>
      <c r="C60" s="30" t="s">
        <v>149</v>
      </c>
      <c r="D60" s="30" t="s">
        <v>696</v>
      </c>
      <c r="E60" s="30"/>
      <c r="F60" s="30"/>
    </row>
    <row r="61" spans="1:6" x14ac:dyDescent="0.25">
      <c r="A61" s="31" t="s">
        <v>144</v>
      </c>
      <c r="B61" s="33">
        <v>4</v>
      </c>
      <c r="C61" s="31" t="s">
        <v>150</v>
      </c>
      <c r="D61" s="30" t="s">
        <v>696</v>
      </c>
      <c r="E61" s="31"/>
      <c r="F61" s="31"/>
    </row>
    <row r="62" spans="1:6" x14ac:dyDescent="0.25">
      <c r="A62" s="31" t="s">
        <v>144</v>
      </c>
      <c r="B62" s="33">
        <v>4</v>
      </c>
      <c r="C62" s="31" t="s">
        <v>151</v>
      </c>
      <c r="D62" s="30" t="s">
        <v>696</v>
      </c>
      <c r="E62" s="31"/>
      <c r="F62" s="31"/>
    </row>
    <row r="63" spans="1:6" x14ac:dyDescent="0.25">
      <c r="A63" s="31" t="s">
        <v>144</v>
      </c>
      <c r="B63" s="33">
        <v>4</v>
      </c>
      <c r="C63" s="31" t="s">
        <v>152</v>
      </c>
      <c r="D63" s="30" t="s">
        <v>696</v>
      </c>
      <c r="E63" s="31"/>
      <c r="F63" s="31"/>
    </row>
    <row r="64" spans="1:6" x14ac:dyDescent="0.25">
      <c r="A64" s="31" t="s">
        <v>144</v>
      </c>
      <c r="B64" s="33">
        <v>0.25</v>
      </c>
      <c r="C64" s="31" t="s">
        <v>153</v>
      </c>
      <c r="D64" s="30" t="s">
        <v>696</v>
      </c>
      <c r="E64" s="31"/>
      <c r="F64" s="31"/>
    </row>
    <row r="65" spans="1:6" x14ac:dyDescent="0.25">
      <c r="A65" s="31" t="s">
        <v>144</v>
      </c>
      <c r="B65" s="33">
        <v>0.25</v>
      </c>
      <c r="C65" s="31" t="s">
        <v>154</v>
      </c>
      <c r="D65" s="30" t="s">
        <v>696</v>
      </c>
      <c r="E65" s="31"/>
      <c r="F65" s="31"/>
    </row>
    <row r="66" spans="1:6" x14ac:dyDescent="0.25">
      <c r="A66" s="31" t="s">
        <v>144</v>
      </c>
      <c r="B66" s="33">
        <v>0.25</v>
      </c>
      <c r="C66" s="31" t="s">
        <v>586</v>
      </c>
      <c r="D66" s="30" t="s">
        <v>696</v>
      </c>
      <c r="E66" s="31"/>
      <c r="F66" s="31"/>
    </row>
    <row r="67" spans="1:6" x14ac:dyDescent="0.25">
      <c r="A67" s="31" t="s">
        <v>144</v>
      </c>
      <c r="B67" s="33">
        <v>0.25</v>
      </c>
      <c r="C67" s="31" t="s">
        <v>587</v>
      </c>
      <c r="D67" s="30" t="s">
        <v>696</v>
      </c>
      <c r="E67" s="31"/>
      <c r="F67" s="31"/>
    </row>
    <row r="68" spans="1:6" x14ac:dyDescent="0.25">
      <c r="A68" s="31" t="s">
        <v>144</v>
      </c>
      <c r="B68" s="33">
        <v>0.25</v>
      </c>
      <c r="C68" s="31" t="s">
        <v>266</v>
      </c>
      <c r="D68" s="30" t="s">
        <v>696</v>
      </c>
      <c r="E68" s="31"/>
      <c r="F68" s="31"/>
    </row>
    <row r="69" spans="1:6" x14ac:dyDescent="0.25">
      <c r="A69" s="31" t="s">
        <v>144</v>
      </c>
      <c r="B69" s="33">
        <v>0.25</v>
      </c>
      <c r="C69" s="31" t="s">
        <v>267</v>
      </c>
      <c r="D69" s="30" t="s">
        <v>696</v>
      </c>
      <c r="E69" s="31"/>
      <c r="F69" s="31"/>
    </row>
    <row r="70" spans="1:6" x14ac:dyDescent="0.25">
      <c r="A70" s="24" t="s">
        <v>155</v>
      </c>
      <c r="B70" s="24" t="s">
        <v>159</v>
      </c>
      <c r="C70" s="25"/>
      <c r="D70" s="25"/>
      <c r="E70" s="25"/>
      <c r="F70" s="25"/>
    </row>
    <row r="71" spans="1:6" x14ac:dyDescent="0.25">
      <c r="A71" s="24" t="s">
        <v>156</v>
      </c>
      <c r="B71" s="24" t="s">
        <v>158</v>
      </c>
      <c r="C71" s="25"/>
      <c r="D71" s="25"/>
      <c r="E71" s="25"/>
      <c r="F71" s="25"/>
    </row>
    <row r="72" spans="1:6" ht="15.75" thickBot="1" x14ac:dyDescent="0.3">
      <c r="A72" s="24" t="s">
        <v>157</v>
      </c>
      <c r="B72" s="28" t="s">
        <v>588</v>
      </c>
      <c r="C72" s="25"/>
      <c r="D72" s="25"/>
      <c r="E72" s="25"/>
      <c r="F72" s="25"/>
    </row>
    <row r="73" spans="1:6" ht="15.75" thickBot="1" x14ac:dyDescent="0.3">
      <c r="A73" s="32" t="s">
        <v>161</v>
      </c>
      <c r="B73" s="32" t="s">
        <v>160</v>
      </c>
      <c r="C73" s="29"/>
      <c r="D73" s="29"/>
      <c r="E73" s="29"/>
      <c r="F73" s="29"/>
    </row>
    <row r="74" spans="1:6" ht="15.75" thickBot="1" x14ac:dyDescent="0.3">
      <c r="A74" s="22" t="s">
        <v>756</v>
      </c>
      <c r="B74" s="23" t="s">
        <v>145</v>
      </c>
      <c r="C74" s="23" t="s">
        <v>143</v>
      </c>
      <c r="D74" s="27" t="s">
        <v>695</v>
      </c>
      <c r="E74" s="23" t="s">
        <v>146</v>
      </c>
      <c r="F74" s="23" t="s">
        <v>2</v>
      </c>
    </row>
    <row r="75" spans="1:6" x14ac:dyDescent="0.25">
      <c r="A75" s="30" t="s">
        <v>144</v>
      </c>
      <c r="B75" s="33">
        <v>4</v>
      </c>
      <c r="C75" s="30" t="s">
        <v>149</v>
      </c>
      <c r="D75" s="30" t="s">
        <v>696</v>
      </c>
      <c r="E75" s="30"/>
      <c r="F75" s="30"/>
    </row>
    <row r="76" spans="1:6" x14ac:dyDescent="0.25">
      <c r="A76" s="31" t="s">
        <v>144</v>
      </c>
      <c r="B76" s="33">
        <v>4</v>
      </c>
      <c r="C76" s="31" t="s">
        <v>150</v>
      </c>
      <c r="D76" s="30" t="s">
        <v>696</v>
      </c>
      <c r="E76" s="31"/>
      <c r="F76" s="31"/>
    </row>
    <row r="77" spans="1:6" x14ac:dyDescent="0.25">
      <c r="A77" s="31" t="s">
        <v>144</v>
      </c>
      <c r="B77" s="33">
        <v>4</v>
      </c>
      <c r="C77" s="31" t="s">
        <v>151</v>
      </c>
      <c r="D77" s="30" t="s">
        <v>696</v>
      </c>
      <c r="E77" s="31"/>
      <c r="F77" s="31"/>
    </row>
    <row r="78" spans="1:6" x14ac:dyDescent="0.25">
      <c r="A78" s="31" t="s">
        <v>144</v>
      </c>
      <c r="B78" s="33">
        <v>4</v>
      </c>
      <c r="C78" s="31" t="s">
        <v>152</v>
      </c>
      <c r="D78" s="30" t="s">
        <v>696</v>
      </c>
      <c r="E78" s="31"/>
      <c r="F78" s="31"/>
    </row>
    <row r="79" spans="1:6" x14ac:dyDescent="0.25">
      <c r="A79" s="31" t="s">
        <v>144</v>
      </c>
      <c r="B79" s="33">
        <v>0.25</v>
      </c>
      <c r="C79" s="31" t="s">
        <v>153</v>
      </c>
      <c r="D79" s="30" t="s">
        <v>696</v>
      </c>
      <c r="E79" s="31"/>
      <c r="F79" s="31"/>
    </row>
    <row r="80" spans="1:6" x14ac:dyDescent="0.25">
      <c r="A80" s="31" t="s">
        <v>144</v>
      </c>
      <c r="B80" s="33">
        <v>0.25</v>
      </c>
      <c r="C80" s="31" t="s">
        <v>154</v>
      </c>
      <c r="D80" s="30" t="s">
        <v>696</v>
      </c>
      <c r="E80" s="31"/>
      <c r="F80" s="31"/>
    </row>
    <row r="81" spans="1:6" x14ac:dyDescent="0.25">
      <c r="A81" s="31" t="s">
        <v>144</v>
      </c>
      <c r="B81" s="33">
        <v>0.25</v>
      </c>
      <c r="C81" s="31" t="s">
        <v>586</v>
      </c>
      <c r="D81" s="30" t="s">
        <v>696</v>
      </c>
      <c r="E81" s="31"/>
      <c r="F81" s="31"/>
    </row>
    <row r="82" spans="1:6" x14ac:dyDescent="0.25">
      <c r="A82" s="31" t="s">
        <v>144</v>
      </c>
      <c r="B82" s="33">
        <v>0.25</v>
      </c>
      <c r="C82" s="31" t="s">
        <v>587</v>
      </c>
      <c r="D82" s="30" t="s">
        <v>696</v>
      </c>
      <c r="E82" s="31"/>
      <c r="F82" s="31"/>
    </row>
    <row r="83" spans="1:6" x14ac:dyDescent="0.25">
      <c r="A83" s="31" t="s">
        <v>144</v>
      </c>
      <c r="B83" s="33">
        <v>0.25</v>
      </c>
      <c r="C83" s="31" t="s">
        <v>266</v>
      </c>
      <c r="D83" s="30" t="s">
        <v>696</v>
      </c>
      <c r="E83" s="31"/>
      <c r="F83" s="31"/>
    </row>
    <row r="84" spans="1:6" x14ac:dyDescent="0.25">
      <c r="A84" s="31" t="s">
        <v>144</v>
      </c>
      <c r="B84" s="33">
        <v>0.25</v>
      </c>
      <c r="C84" s="31" t="s">
        <v>267</v>
      </c>
      <c r="D84" s="30" t="s">
        <v>696</v>
      </c>
      <c r="E84" s="31"/>
      <c r="F84" s="31"/>
    </row>
    <row r="85" spans="1:6" x14ac:dyDescent="0.25">
      <c r="A85" s="31" t="s">
        <v>144</v>
      </c>
      <c r="B85" s="33">
        <v>4</v>
      </c>
      <c r="C85" s="31" t="s">
        <v>54</v>
      </c>
      <c r="D85" s="31" t="s">
        <v>692</v>
      </c>
      <c r="E85" s="31" t="s">
        <v>694</v>
      </c>
      <c r="F85" s="31" t="s">
        <v>133</v>
      </c>
    </row>
    <row r="86" spans="1:6" x14ac:dyDescent="0.25">
      <c r="A86" s="31" t="s">
        <v>144</v>
      </c>
      <c r="B86" s="33">
        <v>4</v>
      </c>
      <c r="C86" s="31" t="s">
        <v>54</v>
      </c>
      <c r="D86" s="31" t="s">
        <v>692</v>
      </c>
      <c r="E86" s="31" t="s">
        <v>693</v>
      </c>
      <c r="F86" s="31" t="s">
        <v>133</v>
      </c>
    </row>
    <row r="87" spans="1:6" x14ac:dyDescent="0.25">
      <c r="A87" s="24" t="s">
        <v>155</v>
      </c>
      <c r="B87" s="24" t="s">
        <v>159</v>
      </c>
      <c r="C87" s="25"/>
      <c r="D87" s="25"/>
      <c r="E87" s="25"/>
      <c r="F87" s="25"/>
    </row>
    <row r="88" spans="1:6" x14ac:dyDescent="0.25">
      <c r="A88" s="24" t="s">
        <v>156</v>
      </c>
      <c r="B88" s="24" t="s">
        <v>158</v>
      </c>
      <c r="C88" s="25"/>
      <c r="D88" s="25"/>
      <c r="E88" s="25"/>
      <c r="F88" s="25"/>
    </row>
    <row r="89" spans="1:6" ht="15.75" thickBot="1" x14ac:dyDescent="0.3">
      <c r="A89" s="24" t="s">
        <v>157</v>
      </c>
      <c r="B89" s="28" t="s">
        <v>588</v>
      </c>
      <c r="C89" s="25"/>
      <c r="D89" s="25"/>
      <c r="E89" s="25"/>
      <c r="F89" s="25"/>
    </row>
    <row r="90" spans="1:6" ht="15.75" thickBot="1" x14ac:dyDescent="0.3">
      <c r="A90" s="32" t="s">
        <v>161</v>
      </c>
      <c r="B90" s="32" t="s">
        <v>160</v>
      </c>
      <c r="C90" s="29"/>
      <c r="D90" s="29"/>
      <c r="E90" s="29"/>
      <c r="F90" s="29"/>
    </row>
    <row r="91" spans="1:6" ht="15.75" thickBot="1" x14ac:dyDescent="0.3">
      <c r="A91" s="22" t="s">
        <v>757</v>
      </c>
      <c r="B91" s="23" t="s">
        <v>145</v>
      </c>
      <c r="C91" s="23" t="s">
        <v>143</v>
      </c>
      <c r="D91" s="27" t="s">
        <v>695</v>
      </c>
      <c r="E91" s="23" t="s">
        <v>146</v>
      </c>
      <c r="F91" s="23" t="s">
        <v>2</v>
      </c>
    </row>
    <row r="92" spans="1:6" x14ac:dyDescent="0.25">
      <c r="A92" s="30" t="s">
        <v>144</v>
      </c>
      <c r="B92" s="33">
        <v>4</v>
      </c>
      <c r="C92" s="30" t="s">
        <v>149</v>
      </c>
      <c r="D92" s="30" t="s">
        <v>696</v>
      </c>
      <c r="E92" s="30"/>
      <c r="F92" s="30"/>
    </row>
    <row r="93" spans="1:6" x14ac:dyDescent="0.25">
      <c r="A93" s="31" t="s">
        <v>144</v>
      </c>
      <c r="B93" s="33">
        <v>4</v>
      </c>
      <c r="C93" s="31" t="s">
        <v>150</v>
      </c>
      <c r="D93" s="30" t="s">
        <v>696</v>
      </c>
      <c r="E93" s="31"/>
      <c r="F93" s="31"/>
    </row>
    <row r="94" spans="1:6" x14ac:dyDescent="0.25">
      <c r="A94" s="31" t="s">
        <v>144</v>
      </c>
      <c r="B94" s="33">
        <v>4</v>
      </c>
      <c r="C94" s="31" t="s">
        <v>151</v>
      </c>
      <c r="D94" s="30" t="s">
        <v>696</v>
      </c>
      <c r="E94" s="31"/>
      <c r="F94" s="31"/>
    </row>
    <row r="95" spans="1:6" x14ac:dyDescent="0.25">
      <c r="A95" s="31" t="s">
        <v>144</v>
      </c>
      <c r="B95" s="33">
        <v>4</v>
      </c>
      <c r="C95" s="31" t="s">
        <v>152</v>
      </c>
      <c r="D95" s="30" t="s">
        <v>696</v>
      </c>
      <c r="E95" s="31"/>
      <c r="F95" s="31"/>
    </row>
    <row r="96" spans="1:6" x14ac:dyDescent="0.25">
      <c r="A96" s="31" t="s">
        <v>144</v>
      </c>
      <c r="B96" s="33">
        <v>0.25</v>
      </c>
      <c r="C96" s="31" t="s">
        <v>153</v>
      </c>
      <c r="D96" s="30" t="s">
        <v>696</v>
      </c>
      <c r="E96" s="31"/>
      <c r="F96" s="31"/>
    </row>
    <row r="97" spans="1:6" x14ac:dyDescent="0.25">
      <c r="A97" s="31" t="s">
        <v>144</v>
      </c>
      <c r="B97" s="33">
        <v>0.25</v>
      </c>
      <c r="C97" s="31" t="s">
        <v>154</v>
      </c>
      <c r="D97" s="30" t="s">
        <v>696</v>
      </c>
      <c r="E97" s="31"/>
      <c r="F97" s="31"/>
    </row>
    <row r="98" spans="1:6" x14ac:dyDescent="0.25">
      <c r="A98" s="31" t="s">
        <v>144</v>
      </c>
      <c r="B98" s="33">
        <v>0.25</v>
      </c>
      <c r="C98" s="31" t="s">
        <v>586</v>
      </c>
      <c r="D98" s="30" t="s">
        <v>696</v>
      </c>
      <c r="E98" s="31"/>
      <c r="F98" s="31"/>
    </row>
    <row r="99" spans="1:6" x14ac:dyDescent="0.25">
      <c r="A99" s="31" t="s">
        <v>144</v>
      </c>
      <c r="B99" s="33">
        <v>0.25</v>
      </c>
      <c r="C99" s="31" t="s">
        <v>587</v>
      </c>
      <c r="D99" s="30" t="s">
        <v>696</v>
      </c>
      <c r="E99" s="31"/>
      <c r="F99" s="31"/>
    </row>
    <row r="100" spans="1:6" x14ac:dyDescent="0.25">
      <c r="A100" s="31" t="s">
        <v>144</v>
      </c>
      <c r="B100" s="33">
        <v>0.25</v>
      </c>
      <c r="C100" s="31" t="s">
        <v>266</v>
      </c>
      <c r="D100" s="30" t="s">
        <v>696</v>
      </c>
      <c r="E100" s="31"/>
      <c r="F100" s="31"/>
    </row>
    <row r="101" spans="1:6" x14ac:dyDescent="0.25">
      <c r="A101" s="31" t="s">
        <v>144</v>
      </c>
      <c r="B101" s="33">
        <v>0.25</v>
      </c>
      <c r="C101" s="31" t="s">
        <v>267</v>
      </c>
      <c r="D101" s="30" t="s">
        <v>696</v>
      </c>
      <c r="E101" s="31"/>
      <c r="F101" s="31"/>
    </row>
    <row r="102" spans="1:6" x14ac:dyDescent="0.25">
      <c r="A102" s="24" t="s">
        <v>155</v>
      </c>
      <c r="B102" s="24" t="s">
        <v>159</v>
      </c>
      <c r="C102" s="25"/>
      <c r="D102" s="25"/>
      <c r="E102" s="25"/>
      <c r="F102" s="25"/>
    </row>
    <row r="103" spans="1:6" x14ac:dyDescent="0.25">
      <c r="A103" s="24" t="s">
        <v>156</v>
      </c>
      <c r="B103" s="24" t="s">
        <v>158</v>
      </c>
      <c r="C103" s="25"/>
      <c r="D103" s="25"/>
      <c r="E103" s="25"/>
      <c r="F103" s="25"/>
    </row>
    <row r="104" spans="1:6" ht="15.75" thickBot="1" x14ac:dyDescent="0.3">
      <c r="A104" s="24" t="s">
        <v>157</v>
      </c>
      <c r="B104" s="28" t="s">
        <v>588</v>
      </c>
      <c r="C104" s="25"/>
      <c r="D104" s="25"/>
      <c r="E104" s="25"/>
      <c r="F104" s="25"/>
    </row>
    <row r="105" spans="1:6" ht="15.75" thickBot="1" x14ac:dyDescent="0.3">
      <c r="A105" s="32" t="s">
        <v>161</v>
      </c>
      <c r="B105" s="32" t="s">
        <v>160</v>
      </c>
      <c r="C105" s="29"/>
      <c r="D105" s="29"/>
      <c r="E105" s="29"/>
      <c r="F105" s="29"/>
    </row>
    <row r="106" spans="1:6" ht="15.75" thickBot="1" x14ac:dyDescent="0.3">
      <c r="A106" s="26" t="s">
        <v>758</v>
      </c>
      <c r="B106" s="27" t="s">
        <v>145</v>
      </c>
      <c r="C106" s="27" t="s">
        <v>143</v>
      </c>
      <c r="D106" s="27" t="s">
        <v>695</v>
      </c>
      <c r="E106" s="27" t="s">
        <v>146</v>
      </c>
      <c r="F106" s="27" t="s">
        <v>2</v>
      </c>
    </row>
    <row r="107" spans="1:6" x14ac:dyDescent="0.25">
      <c r="A107" s="30" t="s">
        <v>144</v>
      </c>
      <c r="B107" s="33">
        <v>4</v>
      </c>
      <c r="C107" s="30" t="s">
        <v>149</v>
      </c>
      <c r="D107" s="30" t="s">
        <v>696</v>
      </c>
      <c r="E107" s="30"/>
      <c r="F107" s="30"/>
    </row>
    <row r="108" spans="1:6" x14ac:dyDescent="0.25">
      <c r="A108" s="31" t="s">
        <v>144</v>
      </c>
      <c r="B108" s="33">
        <v>4</v>
      </c>
      <c r="C108" s="31" t="s">
        <v>150</v>
      </c>
      <c r="D108" s="30" t="s">
        <v>696</v>
      </c>
      <c r="E108" s="31"/>
      <c r="F108" s="31"/>
    </row>
    <row r="109" spans="1:6" x14ac:dyDescent="0.25">
      <c r="A109" s="31" t="s">
        <v>144</v>
      </c>
      <c r="B109" s="33">
        <v>4</v>
      </c>
      <c r="C109" s="31" t="s">
        <v>151</v>
      </c>
      <c r="D109" s="30" t="s">
        <v>696</v>
      </c>
      <c r="E109" s="31"/>
      <c r="F109" s="31"/>
    </row>
    <row r="110" spans="1:6" x14ac:dyDescent="0.25">
      <c r="A110" s="31" t="s">
        <v>144</v>
      </c>
      <c r="B110" s="33">
        <v>4</v>
      </c>
      <c r="C110" s="31" t="s">
        <v>152</v>
      </c>
      <c r="D110" s="30" t="s">
        <v>696</v>
      </c>
      <c r="E110" s="31"/>
      <c r="F110" s="31"/>
    </row>
    <row r="111" spans="1:6" x14ac:dyDescent="0.25">
      <c r="A111" s="31" t="s">
        <v>144</v>
      </c>
      <c r="B111" s="33">
        <v>0.25</v>
      </c>
      <c r="C111" s="31" t="s">
        <v>153</v>
      </c>
      <c r="D111" s="30" t="s">
        <v>696</v>
      </c>
      <c r="E111" s="31"/>
      <c r="F111" s="31"/>
    </row>
    <row r="112" spans="1:6" x14ac:dyDescent="0.25">
      <c r="A112" s="31" t="s">
        <v>144</v>
      </c>
      <c r="B112" s="33">
        <v>0.25</v>
      </c>
      <c r="C112" s="31" t="s">
        <v>154</v>
      </c>
      <c r="D112" s="30" t="s">
        <v>696</v>
      </c>
      <c r="E112" s="31"/>
      <c r="F112" s="31"/>
    </row>
    <row r="113" spans="1:6" x14ac:dyDescent="0.25">
      <c r="A113" s="31" t="s">
        <v>144</v>
      </c>
      <c r="B113" s="33">
        <v>0.25</v>
      </c>
      <c r="C113" s="31" t="s">
        <v>586</v>
      </c>
      <c r="D113" s="30" t="s">
        <v>696</v>
      </c>
      <c r="E113" s="31"/>
      <c r="F113" s="31"/>
    </row>
    <row r="114" spans="1:6" x14ac:dyDescent="0.25">
      <c r="A114" s="31" t="s">
        <v>144</v>
      </c>
      <c r="B114" s="33">
        <v>0.25</v>
      </c>
      <c r="C114" s="31" t="s">
        <v>587</v>
      </c>
      <c r="D114" s="30" t="s">
        <v>696</v>
      </c>
      <c r="E114" s="31"/>
      <c r="F114" s="31"/>
    </row>
    <row r="115" spans="1:6" x14ac:dyDescent="0.25">
      <c r="A115" s="31" t="s">
        <v>144</v>
      </c>
      <c r="B115" s="33">
        <v>0.25</v>
      </c>
      <c r="C115" s="31" t="s">
        <v>266</v>
      </c>
      <c r="D115" s="30" t="s">
        <v>696</v>
      </c>
      <c r="E115" s="31"/>
      <c r="F115" s="31"/>
    </row>
    <row r="116" spans="1:6" x14ac:dyDescent="0.25">
      <c r="A116" s="31" t="s">
        <v>144</v>
      </c>
      <c r="B116" s="33">
        <v>0.25</v>
      </c>
      <c r="C116" s="31" t="s">
        <v>267</v>
      </c>
      <c r="D116" s="30" t="s">
        <v>696</v>
      </c>
      <c r="E116" s="31"/>
      <c r="F116" s="31"/>
    </row>
    <row r="117" spans="1:6" x14ac:dyDescent="0.25">
      <c r="A117" s="24" t="s">
        <v>155</v>
      </c>
      <c r="B117" s="24" t="s">
        <v>159</v>
      </c>
      <c r="C117" s="25"/>
      <c r="D117" s="25"/>
      <c r="E117" s="25"/>
      <c r="F117" s="25"/>
    </row>
    <row r="118" spans="1:6" x14ac:dyDescent="0.25">
      <c r="A118" s="24" t="s">
        <v>156</v>
      </c>
      <c r="B118" s="24" t="s">
        <v>158</v>
      </c>
      <c r="C118" s="25"/>
      <c r="D118" s="25"/>
      <c r="E118" s="25"/>
      <c r="F118" s="25"/>
    </row>
    <row r="119" spans="1:6" ht="15.75" thickBot="1" x14ac:dyDescent="0.3">
      <c r="A119" s="28" t="s">
        <v>157</v>
      </c>
      <c r="B119" s="28" t="s">
        <v>588</v>
      </c>
      <c r="C119" s="29"/>
      <c r="D119" s="29"/>
      <c r="E119" s="29"/>
      <c r="F119" s="29"/>
    </row>
    <row r="120" spans="1:6" ht="15.75" thickBot="1" x14ac:dyDescent="0.3">
      <c r="A120" s="32" t="s">
        <v>161</v>
      </c>
      <c r="B120" s="32" t="s">
        <v>160</v>
      </c>
      <c r="C120" s="29"/>
      <c r="D120" s="29"/>
      <c r="E120" s="29"/>
      <c r="F120" s="29"/>
    </row>
    <row r="121" spans="1:6" ht="15.75" thickBot="1" x14ac:dyDescent="0.3">
      <c r="A121" s="26" t="s">
        <v>765</v>
      </c>
      <c r="B121" s="27" t="s">
        <v>145</v>
      </c>
      <c r="C121" s="27" t="s">
        <v>143</v>
      </c>
      <c r="D121" s="27" t="s">
        <v>695</v>
      </c>
      <c r="E121" s="27" t="s">
        <v>146</v>
      </c>
      <c r="F121" s="27" t="s">
        <v>2</v>
      </c>
    </row>
    <row r="122" spans="1:6" x14ac:dyDescent="0.25">
      <c r="A122" s="30" t="s">
        <v>144</v>
      </c>
      <c r="B122" s="33">
        <v>4</v>
      </c>
      <c r="C122" s="30" t="s">
        <v>149</v>
      </c>
      <c r="D122" s="30" t="s">
        <v>696</v>
      </c>
      <c r="E122" s="30"/>
      <c r="F122" s="30"/>
    </row>
    <row r="123" spans="1:6" x14ac:dyDescent="0.25">
      <c r="A123" s="31" t="s">
        <v>144</v>
      </c>
      <c r="B123" s="33">
        <v>4</v>
      </c>
      <c r="C123" s="31" t="s">
        <v>150</v>
      </c>
      <c r="D123" s="30" t="s">
        <v>696</v>
      </c>
      <c r="E123" s="31"/>
      <c r="F123" s="31"/>
    </row>
    <row r="124" spans="1:6" x14ac:dyDescent="0.25">
      <c r="A124" s="31" t="s">
        <v>144</v>
      </c>
      <c r="B124" s="33">
        <v>4</v>
      </c>
      <c r="C124" s="31" t="s">
        <v>151</v>
      </c>
      <c r="D124" s="30" t="s">
        <v>696</v>
      </c>
      <c r="E124" s="31"/>
      <c r="F124" s="31"/>
    </row>
    <row r="125" spans="1:6" x14ac:dyDescent="0.25">
      <c r="A125" s="31" t="s">
        <v>144</v>
      </c>
      <c r="B125" s="33">
        <v>4</v>
      </c>
      <c r="C125" s="31" t="s">
        <v>152</v>
      </c>
      <c r="D125" s="30" t="s">
        <v>696</v>
      </c>
      <c r="E125" s="31"/>
      <c r="F125" s="31"/>
    </row>
    <row r="126" spans="1:6" x14ac:dyDescent="0.25">
      <c r="A126" s="31" t="s">
        <v>144</v>
      </c>
      <c r="B126" s="33">
        <v>0.25</v>
      </c>
      <c r="C126" s="31" t="s">
        <v>153</v>
      </c>
      <c r="D126" s="30" t="s">
        <v>696</v>
      </c>
      <c r="E126" s="31"/>
      <c r="F126" s="31"/>
    </row>
    <row r="127" spans="1:6" x14ac:dyDescent="0.25">
      <c r="A127" s="31" t="s">
        <v>144</v>
      </c>
      <c r="B127" s="33">
        <v>0.25</v>
      </c>
      <c r="C127" s="31" t="s">
        <v>154</v>
      </c>
      <c r="D127" s="30" t="s">
        <v>696</v>
      </c>
      <c r="E127" s="31"/>
      <c r="F127" s="31"/>
    </row>
    <row r="128" spans="1:6" x14ac:dyDescent="0.25">
      <c r="A128" s="31" t="s">
        <v>144</v>
      </c>
      <c r="B128" s="33">
        <v>0.25</v>
      </c>
      <c r="C128" s="31" t="s">
        <v>586</v>
      </c>
      <c r="D128" s="30" t="s">
        <v>696</v>
      </c>
      <c r="E128" s="31"/>
      <c r="F128" s="31"/>
    </row>
    <row r="129" spans="1:6" x14ac:dyDescent="0.25">
      <c r="A129" s="31" t="s">
        <v>144</v>
      </c>
      <c r="B129" s="33">
        <v>0.25</v>
      </c>
      <c r="C129" s="31" t="s">
        <v>587</v>
      </c>
      <c r="D129" s="30" t="s">
        <v>696</v>
      </c>
      <c r="E129" s="31"/>
      <c r="F129" s="31"/>
    </row>
    <row r="130" spans="1:6" x14ac:dyDescent="0.25">
      <c r="A130" s="31" t="s">
        <v>144</v>
      </c>
      <c r="B130" s="33">
        <v>0.25</v>
      </c>
      <c r="C130" s="31" t="s">
        <v>266</v>
      </c>
      <c r="D130" s="30" t="s">
        <v>696</v>
      </c>
      <c r="E130" s="31"/>
      <c r="F130" s="31"/>
    </row>
    <row r="131" spans="1:6" x14ac:dyDescent="0.25">
      <c r="A131" s="31" t="s">
        <v>144</v>
      </c>
      <c r="B131" s="33">
        <v>0.25</v>
      </c>
      <c r="C131" s="31" t="s">
        <v>267</v>
      </c>
      <c r="D131" s="30" t="s">
        <v>696</v>
      </c>
      <c r="E131" s="31"/>
      <c r="F131" s="31"/>
    </row>
    <row r="132" spans="1:6" x14ac:dyDescent="0.25">
      <c r="A132" s="24" t="s">
        <v>155</v>
      </c>
      <c r="B132" s="24" t="s">
        <v>159</v>
      </c>
      <c r="C132" s="25"/>
      <c r="D132" s="25"/>
      <c r="E132" s="25"/>
      <c r="F132" s="25"/>
    </row>
    <row r="133" spans="1:6" x14ac:dyDescent="0.25">
      <c r="A133" s="24" t="s">
        <v>156</v>
      </c>
      <c r="B133" s="24" t="s">
        <v>158</v>
      </c>
      <c r="C133" s="25"/>
      <c r="D133" s="25"/>
      <c r="E133" s="25"/>
      <c r="F133" s="25"/>
    </row>
    <row r="134" spans="1:6" ht="15.75" thickBot="1" x14ac:dyDescent="0.3">
      <c r="A134" s="28" t="s">
        <v>157</v>
      </c>
      <c r="B134" s="28" t="s">
        <v>779</v>
      </c>
      <c r="C134" s="29"/>
      <c r="D134" s="29"/>
      <c r="E134" s="29"/>
      <c r="F134" s="29"/>
    </row>
    <row r="135" spans="1:6" ht="15.75" thickBot="1" x14ac:dyDescent="0.3">
      <c r="A135" s="32" t="s">
        <v>161</v>
      </c>
      <c r="B135" s="32" t="s">
        <v>160</v>
      </c>
      <c r="C135" s="29"/>
      <c r="D135" s="29"/>
      <c r="E135" s="29"/>
      <c r="F135" s="29"/>
    </row>
    <row r="136" spans="1:6" ht="15.75" thickBot="1" x14ac:dyDescent="0.3">
      <c r="A136" s="26" t="s">
        <v>759</v>
      </c>
      <c r="B136" s="27" t="s">
        <v>145</v>
      </c>
      <c r="C136" s="27" t="s">
        <v>143</v>
      </c>
      <c r="D136" s="27" t="s">
        <v>147</v>
      </c>
      <c r="E136" s="27" t="s">
        <v>146</v>
      </c>
      <c r="F136" s="27" t="s">
        <v>2</v>
      </c>
    </row>
    <row r="137" spans="1:6" x14ac:dyDescent="0.25">
      <c r="A137" s="30" t="s">
        <v>144</v>
      </c>
      <c r="B137" s="33">
        <v>4</v>
      </c>
      <c r="C137" s="30" t="s">
        <v>149</v>
      </c>
      <c r="D137" s="30" t="s">
        <v>696</v>
      </c>
      <c r="E137" s="30"/>
      <c r="F137" s="30"/>
    </row>
    <row r="138" spans="1:6" x14ac:dyDescent="0.25">
      <c r="A138" s="31" t="s">
        <v>144</v>
      </c>
      <c r="B138" s="33">
        <v>4</v>
      </c>
      <c r="C138" s="31" t="s">
        <v>150</v>
      </c>
      <c r="D138" s="30" t="s">
        <v>696</v>
      </c>
      <c r="E138" s="31"/>
      <c r="F138" s="31"/>
    </row>
    <row r="139" spans="1:6" x14ac:dyDescent="0.25">
      <c r="A139" s="31" t="s">
        <v>144</v>
      </c>
      <c r="B139" s="33">
        <v>4</v>
      </c>
      <c r="C139" s="31" t="s">
        <v>151</v>
      </c>
      <c r="D139" s="30" t="s">
        <v>696</v>
      </c>
      <c r="E139" s="31"/>
      <c r="F139" s="31"/>
    </row>
    <row r="140" spans="1:6" x14ac:dyDescent="0.25">
      <c r="A140" s="31" t="s">
        <v>144</v>
      </c>
      <c r="B140" s="33">
        <v>4</v>
      </c>
      <c r="C140" s="31" t="s">
        <v>152</v>
      </c>
      <c r="D140" s="30" t="s">
        <v>696</v>
      </c>
      <c r="E140" s="31"/>
      <c r="F140" s="31"/>
    </row>
    <row r="141" spans="1:6" x14ac:dyDescent="0.25">
      <c r="A141" s="31" t="s">
        <v>144</v>
      </c>
      <c r="B141" s="33">
        <v>0.25</v>
      </c>
      <c r="C141" s="31" t="s">
        <v>153</v>
      </c>
      <c r="D141" s="30" t="s">
        <v>696</v>
      </c>
      <c r="E141" s="31"/>
      <c r="F141" s="31"/>
    </row>
    <row r="142" spans="1:6" x14ac:dyDescent="0.25">
      <c r="A142" s="31" t="s">
        <v>144</v>
      </c>
      <c r="B142" s="33">
        <v>0.25</v>
      </c>
      <c r="C142" s="31" t="s">
        <v>154</v>
      </c>
      <c r="D142" s="30" t="s">
        <v>696</v>
      </c>
      <c r="E142" s="31"/>
      <c r="F142" s="31"/>
    </row>
    <row r="143" spans="1:6" x14ac:dyDescent="0.25">
      <c r="A143" s="31" t="s">
        <v>144</v>
      </c>
      <c r="B143" s="33">
        <v>0.25</v>
      </c>
      <c r="C143" s="31" t="s">
        <v>586</v>
      </c>
      <c r="D143" s="30" t="s">
        <v>696</v>
      </c>
      <c r="E143" s="31"/>
      <c r="F143" s="31"/>
    </row>
    <row r="144" spans="1:6" x14ac:dyDescent="0.25">
      <c r="A144" s="31" t="s">
        <v>144</v>
      </c>
      <c r="B144" s="33">
        <v>0.25</v>
      </c>
      <c r="C144" s="31" t="s">
        <v>587</v>
      </c>
      <c r="D144" s="30" t="s">
        <v>696</v>
      </c>
      <c r="E144" s="31"/>
      <c r="F144" s="31"/>
    </row>
    <row r="145" spans="1:6" x14ac:dyDescent="0.25">
      <c r="A145" s="31" t="s">
        <v>144</v>
      </c>
      <c r="B145" s="33">
        <v>0.25</v>
      </c>
      <c r="C145" s="31" t="s">
        <v>266</v>
      </c>
      <c r="D145" s="30" t="s">
        <v>696</v>
      </c>
      <c r="E145" s="31"/>
      <c r="F145" s="31"/>
    </row>
    <row r="146" spans="1:6" x14ac:dyDescent="0.25">
      <c r="A146" s="31" t="s">
        <v>144</v>
      </c>
      <c r="B146" s="33">
        <v>0.25</v>
      </c>
      <c r="C146" s="31" t="s">
        <v>267</v>
      </c>
      <c r="D146" s="30" t="s">
        <v>696</v>
      </c>
      <c r="E146" s="31"/>
      <c r="F146" s="31"/>
    </row>
    <row r="147" spans="1:6" x14ac:dyDescent="0.25">
      <c r="A147" s="24" t="s">
        <v>155</v>
      </c>
      <c r="B147" s="24" t="s">
        <v>159</v>
      </c>
      <c r="C147" s="25"/>
      <c r="D147" s="25"/>
      <c r="E147" s="25"/>
      <c r="F147" s="25"/>
    </row>
    <row r="148" spans="1:6" x14ac:dyDescent="0.25">
      <c r="A148" s="24" t="s">
        <v>156</v>
      </c>
      <c r="B148" s="24" t="s">
        <v>158</v>
      </c>
      <c r="C148" s="25"/>
      <c r="D148" s="25"/>
      <c r="E148" s="25"/>
      <c r="F148" s="25"/>
    </row>
    <row r="149" spans="1:6" ht="15.75" thickBot="1" x14ac:dyDescent="0.3">
      <c r="A149" s="28" t="s">
        <v>157</v>
      </c>
      <c r="B149" s="28" t="s">
        <v>588</v>
      </c>
      <c r="C149" s="29"/>
      <c r="D149" s="29"/>
      <c r="E149" s="29"/>
      <c r="F149" s="29"/>
    </row>
    <row r="150" spans="1:6" ht="15.75" thickBot="1" x14ac:dyDescent="0.3">
      <c r="A150" s="32" t="s">
        <v>161</v>
      </c>
      <c r="B150" s="32" t="s">
        <v>160</v>
      </c>
      <c r="C150" s="29"/>
      <c r="D150" s="29"/>
      <c r="E150" s="29"/>
      <c r="F150" s="29"/>
    </row>
    <row r="151" spans="1:6" ht="15.75" thickBot="1" x14ac:dyDescent="0.3">
      <c r="A151" s="26" t="s">
        <v>760</v>
      </c>
      <c r="B151" s="27" t="s">
        <v>145</v>
      </c>
      <c r="C151" s="27" t="s">
        <v>143</v>
      </c>
      <c r="D151" s="27" t="s">
        <v>695</v>
      </c>
      <c r="E151" s="27" t="s">
        <v>146</v>
      </c>
      <c r="F151" s="27" t="s">
        <v>2</v>
      </c>
    </row>
    <row r="152" spans="1:6" x14ac:dyDescent="0.25">
      <c r="A152" s="30" t="s">
        <v>144</v>
      </c>
      <c r="B152" s="33">
        <v>4</v>
      </c>
      <c r="C152" s="30" t="s">
        <v>149</v>
      </c>
      <c r="D152" s="30" t="s">
        <v>696</v>
      </c>
      <c r="E152" s="30"/>
      <c r="F152" s="30"/>
    </row>
    <row r="153" spans="1:6" x14ac:dyDescent="0.25">
      <c r="A153" s="30" t="s">
        <v>144</v>
      </c>
      <c r="B153" s="33">
        <v>4</v>
      </c>
      <c r="C153" s="31" t="s">
        <v>150</v>
      </c>
      <c r="D153" s="30" t="s">
        <v>696</v>
      </c>
      <c r="E153" s="30"/>
      <c r="F153" s="30"/>
    </row>
    <row r="154" spans="1:6" x14ac:dyDescent="0.25">
      <c r="A154" s="30" t="s">
        <v>144</v>
      </c>
      <c r="B154" s="33">
        <v>4</v>
      </c>
      <c r="C154" s="31" t="s">
        <v>151</v>
      </c>
      <c r="D154" s="30" t="s">
        <v>696</v>
      </c>
      <c r="E154" s="30"/>
      <c r="F154" s="30"/>
    </row>
    <row r="155" spans="1:6" x14ac:dyDescent="0.25">
      <c r="A155" s="30" t="s">
        <v>144</v>
      </c>
      <c r="B155" s="33">
        <v>4</v>
      </c>
      <c r="C155" s="31" t="s">
        <v>152</v>
      </c>
      <c r="D155" s="30" t="s">
        <v>696</v>
      </c>
      <c r="E155" s="30"/>
      <c r="F155" s="30"/>
    </row>
    <row r="156" spans="1:6" x14ac:dyDescent="0.25">
      <c r="A156" s="31" t="s">
        <v>144</v>
      </c>
      <c r="B156" s="33">
        <v>0.25</v>
      </c>
      <c r="C156" s="31" t="s">
        <v>153</v>
      </c>
      <c r="D156" s="30" t="s">
        <v>696</v>
      </c>
      <c r="E156" s="31"/>
      <c r="F156" s="31"/>
    </row>
    <row r="157" spans="1:6" x14ac:dyDescent="0.25">
      <c r="A157" s="31" t="s">
        <v>144</v>
      </c>
      <c r="B157" s="33">
        <v>0.25</v>
      </c>
      <c r="C157" s="31" t="s">
        <v>154</v>
      </c>
      <c r="D157" s="30" t="s">
        <v>696</v>
      </c>
      <c r="E157" s="31"/>
      <c r="F157" s="31"/>
    </row>
    <row r="158" spans="1:6" x14ac:dyDescent="0.25">
      <c r="A158" s="31" t="s">
        <v>144</v>
      </c>
      <c r="B158" s="33">
        <v>0.25</v>
      </c>
      <c r="C158" s="31" t="s">
        <v>586</v>
      </c>
      <c r="D158" s="30" t="s">
        <v>696</v>
      </c>
      <c r="E158" s="31"/>
      <c r="F158" s="31"/>
    </row>
    <row r="159" spans="1:6" x14ac:dyDescent="0.25">
      <c r="A159" s="31" t="s">
        <v>144</v>
      </c>
      <c r="B159" s="33">
        <v>0.25</v>
      </c>
      <c r="C159" s="31" t="s">
        <v>587</v>
      </c>
      <c r="D159" s="30" t="s">
        <v>696</v>
      </c>
      <c r="E159" s="31"/>
      <c r="F159" s="31"/>
    </row>
    <row r="160" spans="1:6" x14ac:dyDescent="0.25">
      <c r="A160" s="31" t="s">
        <v>144</v>
      </c>
      <c r="B160" s="33">
        <v>0.25</v>
      </c>
      <c r="C160" s="31" t="s">
        <v>266</v>
      </c>
      <c r="D160" s="30" t="s">
        <v>696</v>
      </c>
      <c r="E160" s="31"/>
      <c r="F160" s="31"/>
    </row>
    <row r="161" spans="1:6" x14ac:dyDescent="0.25">
      <c r="A161" s="31" t="s">
        <v>144</v>
      </c>
      <c r="B161" s="33">
        <v>0.25</v>
      </c>
      <c r="C161" s="31" t="s">
        <v>267</v>
      </c>
      <c r="D161" s="30" t="s">
        <v>696</v>
      </c>
      <c r="E161" s="31"/>
      <c r="F161" s="31"/>
    </row>
    <row r="162" spans="1:6" x14ac:dyDescent="0.25">
      <c r="A162" s="24" t="s">
        <v>155</v>
      </c>
      <c r="B162" s="24" t="s">
        <v>159</v>
      </c>
      <c r="C162" s="25"/>
      <c r="D162" s="25"/>
      <c r="E162" s="25"/>
      <c r="F162" s="25"/>
    </row>
    <row r="163" spans="1:6" x14ac:dyDescent="0.25">
      <c r="A163" s="24" t="s">
        <v>156</v>
      </c>
      <c r="B163" s="24" t="s">
        <v>158</v>
      </c>
      <c r="C163" s="25"/>
      <c r="D163" s="25"/>
      <c r="E163" s="25"/>
      <c r="F163" s="25"/>
    </row>
    <row r="164" spans="1:6" ht="15.75" thickBot="1" x14ac:dyDescent="0.3">
      <c r="A164" s="28" t="s">
        <v>157</v>
      </c>
      <c r="B164" s="28" t="s">
        <v>588</v>
      </c>
      <c r="C164" s="29"/>
      <c r="D164" s="29"/>
      <c r="E164" s="29"/>
      <c r="F164" s="29"/>
    </row>
    <row r="165" spans="1:6" ht="15.75" thickBot="1" x14ac:dyDescent="0.3">
      <c r="A165" s="32" t="s">
        <v>161</v>
      </c>
      <c r="B165" s="32" t="s">
        <v>160</v>
      </c>
      <c r="C165" s="29"/>
      <c r="D165" s="29"/>
      <c r="E165" s="29"/>
      <c r="F165" s="29"/>
    </row>
    <row r="166" spans="1:6" ht="15.75" thickBot="1" x14ac:dyDescent="0.3">
      <c r="A166" s="26" t="s">
        <v>763</v>
      </c>
      <c r="B166" s="27" t="s">
        <v>145</v>
      </c>
      <c r="C166" s="27" t="s">
        <v>143</v>
      </c>
      <c r="D166" s="27" t="s">
        <v>695</v>
      </c>
      <c r="E166" s="27" t="s">
        <v>146</v>
      </c>
      <c r="F166" s="27" t="s">
        <v>2</v>
      </c>
    </row>
    <row r="167" spans="1:6" x14ac:dyDescent="0.25">
      <c r="A167" s="30" t="s">
        <v>144</v>
      </c>
      <c r="B167" s="33">
        <v>4</v>
      </c>
      <c r="C167" s="30" t="s">
        <v>149</v>
      </c>
      <c r="D167" s="30" t="s">
        <v>696</v>
      </c>
      <c r="E167" s="30"/>
      <c r="F167" s="30"/>
    </row>
    <row r="168" spans="1:6" x14ac:dyDescent="0.25">
      <c r="A168" s="30" t="s">
        <v>144</v>
      </c>
      <c r="B168" s="33">
        <v>4</v>
      </c>
      <c r="C168" s="31" t="s">
        <v>150</v>
      </c>
      <c r="D168" s="30" t="s">
        <v>696</v>
      </c>
      <c r="E168" s="30"/>
      <c r="F168" s="30"/>
    </row>
    <row r="169" spans="1:6" x14ac:dyDescent="0.25">
      <c r="A169" s="30" t="s">
        <v>144</v>
      </c>
      <c r="B169" s="33">
        <v>4</v>
      </c>
      <c r="C169" s="31" t="s">
        <v>151</v>
      </c>
      <c r="D169" s="30" t="s">
        <v>696</v>
      </c>
      <c r="E169" s="30"/>
      <c r="F169" s="30"/>
    </row>
    <row r="170" spans="1:6" x14ac:dyDescent="0.25">
      <c r="A170" s="30" t="s">
        <v>144</v>
      </c>
      <c r="B170" s="33">
        <v>4</v>
      </c>
      <c r="C170" s="31" t="s">
        <v>152</v>
      </c>
      <c r="D170" s="30" t="s">
        <v>696</v>
      </c>
      <c r="E170" s="30"/>
      <c r="F170" s="30"/>
    </row>
    <row r="171" spans="1:6" x14ac:dyDescent="0.25">
      <c r="A171" s="31" t="s">
        <v>144</v>
      </c>
      <c r="B171" s="33">
        <v>0.25</v>
      </c>
      <c r="C171" s="31" t="s">
        <v>153</v>
      </c>
      <c r="D171" s="30" t="s">
        <v>696</v>
      </c>
      <c r="E171" s="31"/>
      <c r="F171" s="31"/>
    </row>
    <row r="172" spans="1:6" x14ac:dyDescent="0.25">
      <c r="A172" s="31" t="s">
        <v>144</v>
      </c>
      <c r="B172" s="33">
        <v>0.25</v>
      </c>
      <c r="C172" s="31" t="s">
        <v>154</v>
      </c>
      <c r="D172" s="30" t="s">
        <v>696</v>
      </c>
      <c r="E172" s="31"/>
      <c r="F172" s="31"/>
    </row>
    <row r="173" spans="1:6" x14ac:dyDescent="0.25">
      <c r="A173" s="31" t="s">
        <v>144</v>
      </c>
      <c r="B173" s="33">
        <v>0.25</v>
      </c>
      <c r="C173" s="31" t="s">
        <v>586</v>
      </c>
      <c r="D173" s="30" t="s">
        <v>696</v>
      </c>
      <c r="E173" s="31"/>
      <c r="F173" s="31"/>
    </row>
    <row r="174" spans="1:6" x14ac:dyDescent="0.25">
      <c r="A174" s="31" t="s">
        <v>144</v>
      </c>
      <c r="B174" s="33">
        <v>0.25</v>
      </c>
      <c r="C174" s="31" t="s">
        <v>587</v>
      </c>
      <c r="D174" s="30" t="s">
        <v>696</v>
      </c>
      <c r="E174" s="31"/>
      <c r="F174" s="31"/>
    </row>
    <row r="175" spans="1:6" x14ac:dyDescent="0.25">
      <c r="A175" s="31" t="s">
        <v>144</v>
      </c>
      <c r="B175" s="33">
        <v>0.25</v>
      </c>
      <c r="C175" s="31" t="s">
        <v>266</v>
      </c>
      <c r="D175" s="30" t="s">
        <v>696</v>
      </c>
      <c r="E175" s="31"/>
      <c r="F175" s="31"/>
    </row>
    <row r="176" spans="1:6" x14ac:dyDescent="0.25">
      <c r="A176" s="31" t="s">
        <v>144</v>
      </c>
      <c r="B176" s="33">
        <v>0.25</v>
      </c>
      <c r="C176" s="31" t="s">
        <v>267</v>
      </c>
      <c r="D176" s="30" t="s">
        <v>696</v>
      </c>
      <c r="E176" s="31"/>
      <c r="F176" s="31"/>
    </row>
    <row r="177" spans="1:6" x14ac:dyDescent="0.25">
      <c r="A177" s="24" t="s">
        <v>155</v>
      </c>
      <c r="B177" s="24" t="s">
        <v>159</v>
      </c>
      <c r="C177" s="25"/>
      <c r="D177" s="25"/>
      <c r="E177" s="25"/>
      <c r="F177" s="25"/>
    </row>
    <row r="178" spans="1:6" x14ac:dyDescent="0.25">
      <c r="A178" s="24" t="s">
        <v>156</v>
      </c>
      <c r="B178" s="24" t="s">
        <v>158</v>
      </c>
      <c r="C178" s="25"/>
      <c r="D178" s="25"/>
      <c r="E178" s="25"/>
      <c r="F178" s="25"/>
    </row>
    <row r="179" spans="1:6" ht="15.75" thickBot="1" x14ac:dyDescent="0.3">
      <c r="A179" s="28" t="s">
        <v>157</v>
      </c>
      <c r="B179" s="28" t="s">
        <v>588</v>
      </c>
      <c r="C179" s="29"/>
      <c r="D179" s="29"/>
      <c r="E179" s="29"/>
      <c r="F179" s="29"/>
    </row>
    <row r="180" spans="1:6" ht="15.75" thickBot="1" x14ac:dyDescent="0.3">
      <c r="A180" s="32" t="s">
        <v>161</v>
      </c>
      <c r="B180" s="32" t="s">
        <v>160</v>
      </c>
      <c r="C180" s="29"/>
      <c r="D180" s="29"/>
      <c r="E180" s="29"/>
      <c r="F180" s="29"/>
    </row>
    <row r="181" spans="1:6" ht="15.75" thickBot="1" x14ac:dyDescent="0.3">
      <c r="A181" s="26" t="s">
        <v>761</v>
      </c>
      <c r="B181" s="27" t="s">
        <v>145</v>
      </c>
      <c r="C181" s="27" t="s">
        <v>143</v>
      </c>
      <c r="D181" s="27" t="s">
        <v>695</v>
      </c>
      <c r="E181" s="27" t="s">
        <v>146</v>
      </c>
      <c r="F181" s="27" t="s">
        <v>2</v>
      </c>
    </row>
    <row r="182" spans="1:6" x14ac:dyDescent="0.25">
      <c r="A182" s="30" t="s">
        <v>144</v>
      </c>
      <c r="B182" s="33">
        <v>4</v>
      </c>
      <c r="C182" s="30" t="s">
        <v>149</v>
      </c>
      <c r="D182" s="30" t="s">
        <v>696</v>
      </c>
      <c r="E182" s="30"/>
      <c r="F182" s="30"/>
    </row>
    <row r="183" spans="1:6" x14ac:dyDescent="0.25">
      <c r="A183" s="30" t="s">
        <v>144</v>
      </c>
      <c r="B183" s="33">
        <v>4</v>
      </c>
      <c r="C183" s="31" t="s">
        <v>150</v>
      </c>
      <c r="D183" s="30" t="s">
        <v>696</v>
      </c>
      <c r="E183" s="30"/>
      <c r="F183" s="30"/>
    </row>
    <row r="184" spans="1:6" x14ac:dyDescent="0.25">
      <c r="A184" s="30" t="s">
        <v>144</v>
      </c>
      <c r="B184" s="33">
        <v>4</v>
      </c>
      <c r="C184" s="31" t="s">
        <v>151</v>
      </c>
      <c r="D184" s="30" t="s">
        <v>696</v>
      </c>
      <c r="E184" s="30"/>
      <c r="F184" s="30"/>
    </row>
    <row r="185" spans="1:6" x14ac:dyDescent="0.25">
      <c r="A185" s="30" t="s">
        <v>144</v>
      </c>
      <c r="B185" s="33">
        <v>4</v>
      </c>
      <c r="C185" s="31" t="s">
        <v>152</v>
      </c>
      <c r="D185" s="30" t="s">
        <v>696</v>
      </c>
      <c r="E185" s="30"/>
      <c r="F185" s="30"/>
    </row>
    <row r="186" spans="1:6" x14ac:dyDescent="0.25">
      <c r="A186" s="31" t="s">
        <v>144</v>
      </c>
      <c r="B186" s="33">
        <v>0.25</v>
      </c>
      <c r="C186" s="31" t="s">
        <v>153</v>
      </c>
      <c r="D186" s="30" t="s">
        <v>696</v>
      </c>
      <c r="E186" s="31"/>
      <c r="F186" s="31"/>
    </row>
    <row r="187" spans="1:6" x14ac:dyDescent="0.25">
      <c r="A187" s="31" t="s">
        <v>144</v>
      </c>
      <c r="B187" s="33">
        <v>0.25</v>
      </c>
      <c r="C187" s="31" t="s">
        <v>154</v>
      </c>
      <c r="D187" s="30" t="s">
        <v>696</v>
      </c>
      <c r="E187" s="31"/>
      <c r="F187" s="31"/>
    </row>
    <row r="188" spans="1:6" x14ac:dyDescent="0.25">
      <c r="A188" s="31" t="s">
        <v>144</v>
      </c>
      <c r="B188" s="33">
        <v>0.25</v>
      </c>
      <c r="C188" s="31" t="s">
        <v>586</v>
      </c>
      <c r="D188" s="30" t="s">
        <v>696</v>
      </c>
      <c r="E188" s="31"/>
      <c r="F188" s="31"/>
    </row>
    <row r="189" spans="1:6" x14ac:dyDescent="0.25">
      <c r="A189" s="31" t="s">
        <v>144</v>
      </c>
      <c r="B189" s="33">
        <v>0.25</v>
      </c>
      <c r="C189" s="31" t="s">
        <v>587</v>
      </c>
      <c r="D189" s="30" t="s">
        <v>696</v>
      </c>
      <c r="E189" s="31"/>
      <c r="F189" s="31"/>
    </row>
    <row r="190" spans="1:6" x14ac:dyDescent="0.25">
      <c r="A190" s="31" t="s">
        <v>144</v>
      </c>
      <c r="B190" s="33">
        <v>0.25</v>
      </c>
      <c r="C190" s="31" t="s">
        <v>266</v>
      </c>
      <c r="D190" s="30" t="s">
        <v>696</v>
      </c>
      <c r="E190" s="31"/>
      <c r="F190" s="31"/>
    </row>
    <row r="191" spans="1:6" x14ac:dyDescent="0.25">
      <c r="A191" s="31" t="s">
        <v>144</v>
      </c>
      <c r="B191" s="33">
        <v>0.25</v>
      </c>
      <c r="C191" s="31" t="s">
        <v>267</v>
      </c>
      <c r="D191" s="30" t="s">
        <v>696</v>
      </c>
      <c r="E191" s="31"/>
      <c r="F191" s="31"/>
    </row>
    <row r="192" spans="1:6" x14ac:dyDescent="0.25">
      <c r="A192" s="24" t="s">
        <v>155</v>
      </c>
      <c r="B192" s="24" t="s">
        <v>159</v>
      </c>
      <c r="C192" s="25"/>
      <c r="D192" s="25"/>
      <c r="E192" s="25"/>
      <c r="F192" s="25"/>
    </row>
    <row r="193" spans="1:6" x14ac:dyDescent="0.25">
      <c r="A193" s="24" t="s">
        <v>156</v>
      </c>
      <c r="B193" s="24" t="s">
        <v>158</v>
      </c>
      <c r="C193" s="25"/>
      <c r="D193" s="25"/>
      <c r="E193" s="25"/>
      <c r="F193" s="25"/>
    </row>
    <row r="194" spans="1:6" ht="15.75" thickBot="1" x14ac:dyDescent="0.3">
      <c r="A194" s="28" t="s">
        <v>157</v>
      </c>
      <c r="B194" s="28" t="s">
        <v>588</v>
      </c>
      <c r="C194" s="29"/>
      <c r="D194" s="29"/>
      <c r="E194" s="29"/>
      <c r="F194" s="29"/>
    </row>
    <row r="195" spans="1:6" ht="15.75" thickBot="1" x14ac:dyDescent="0.3">
      <c r="A195" s="32" t="s">
        <v>161</v>
      </c>
      <c r="B195" s="32" t="s">
        <v>160</v>
      </c>
      <c r="C195" s="29"/>
      <c r="D195" s="29"/>
      <c r="E195" s="29"/>
      <c r="F195" s="29"/>
    </row>
    <row r="196" spans="1:6" ht="15.75" thickBot="1" x14ac:dyDescent="0.3">
      <c r="A196" s="26" t="s">
        <v>762</v>
      </c>
      <c r="B196" s="27" t="s">
        <v>145</v>
      </c>
      <c r="C196" s="27" t="s">
        <v>143</v>
      </c>
      <c r="D196" s="27" t="s">
        <v>695</v>
      </c>
      <c r="E196" s="27" t="s">
        <v>146</v>
      </c>
      <c r="F196" s="27" t="s">
        <v>2</v>
      </c>
    </row>
    <row r="197" spans="1:6" x14ac:dyDescent="0.25">
      <c r="A197" s="30" t="s">
        <v>144</v>
      </c>
      <c r="B197" s="33">
        <v>4</v>
      </c>
      <c r="C197" s="30" t="s">
        <v>149</v>
      </c>
      <c r="D197" s="30" t="s">
        <v>696</v>
      </c>
      <c r="E197" s="30"/>
      <c r="F197" s="30"/>
    </row>
    <row r="198" spans="1:6" x14ac:dyDescent="0.25">
      <c r="A198" s="30" t="s">
        <v>144</v>
      </c>
      <c r="B198" s="33">
        <v>4</v>
      </c>
      <c r="C198" s="31" t="s">
        <v>150</v>
      </c>
      <c r="D198" s="30" t="s">
        <v>696</v>
      </c>
      <c r="E198" s="30"/>
      <c r="F198" s="30"/>
    </row>
    <row r="199" spans="1:6" x14ac:dyDescent="0.25">
      <c r="A199" s="30" t="s">
        <v>144</v>
      </c>
      <c r="B199" s="33">
        <v>4</v>
      </c>
      <c r="C199" s="31" t="s">
        <v>151</v>
      </c>
      <c r="D199" s="30" t="s">
        <v>696</v>
      </c>
      <c r="E199" s="30"/>
      <c r="F199" s="30"/>
    </row>
    <row r="200" spans="1:6" x14ac:dyDescent="0.25">
      <c r="A200" s="30" t="s">
        <v>144</v>
      </c>
      <c r="B200" s="33">
        <v>4</v>
      </c>
      <c r="C200" s="31" t="s">
        <v>152</v>
      </c>
      <c r="D200" s="30" t="s">
        <v>696</v>
      </c>
      <c r="E200" s="30"/>
      <c r="F200" s="30"/>
    </row>
    <row r="201" spans="1:6" x14ac:dyDescent="0.25">
      <c r="A201" s="31" t="s">
        <v>144</v>
      </c>
      <c r="B201" s="33">
        <v>0.25</v>
      </c>
      <c r="C201" s="31" t="s">
        <v>153</v>
      </c>
      <c r="D201" s="30" t="s">
        <v>696</v>
      </c>
      <c r="E201" s="31"/>
      <c r="F201" s="31"/>
    </row>
    <row r="202" spans="1:6" x14ac:dyDescent="0.25">
      <c r="A202" s="31" t="s">
        <v>144</v>
      </c>
      <c r="B202" s="33">
        <v>0.25</v>
      </c>
      <c r="C202" s="31" t="s">
        <v>154</v>
      </c>
      <c r="D202" s="30" t="s">
        <v>696</v>
      </c>
      <c r="E202" s="31"/>
      <c r="F202" s="31"/>
    </row>
    <row r="203" spans="1:6" x14ac:dyDescent="0.25">
      <c r="A203" s="31" t="s">
        <v>144</v>
      </c>
      <c r="B203" s="33">
        <v>0.25</v>
      </c>
      <c r="C203" s="31" t="s">
        <v>586</v>
      </c>
      <c r="D203" s="30" t="s">
        <v>696</v>
      </c>
      <c r="E203" s="31"/>
      <c r="F203" s="31"/>
    </row>
    <row r="204" spans="1:6" x14ac:dyDescent="0.25">
      <c r="A204" s="31" t="s">
        <v>144</v>
      </c>
      <c r="B204" s="33">
        <v>0.25</v>
      </c>
      <c r="C204" s="31" t="s">
        <v>587</v>
      </c>
      <c r="D204" s="30" t="s">
        <v>696</v>
      </c>
      <c r="E204" s="31"/>
      <c r="F204" s="31"/>
    </row>
    <row r="205" spans="1:6" x14ac:dyDescent="0.25">
      <c r="A205" s="31" t="s">
        <v>144</v>
      </c>
      <c r="B205" s="33">
        <v>0.25</v>
      </c>
      <c r="C205" s="31" t="s">
        <v>266</v>
      </c>
      <c r="D205" s="30" t="s">
        <v>696</v>
      </c>
      <c r="E205" s="31"/>
      <c r="F205" s="31"/>
    </row>
    <row r="206" spans="1:6" x14ac:dyDescent="0.25">
      <c r="A206" s="31" t="s">
        <v>144</v>
      </c>
      <c r="B206" s="33">
        <v>0.25</v>
      </c>
      <c r="C206" s="31" t="s">
        <v>267</v>
      </c>
      <c r="D206" s="30" t="s">
        <v>696</v>
      </c>
      <c r="E206" s="31"/>
      <c r="F206" s="31"/>
    </row>
    <row r="207" spans="1:6" x14ac:dyDescent="0.25">
      <c r="A207" s="24" t="s">
        <v>155</v>
      </c>
      <c r="B207" s="24" t="s">
        <v>159</v>
      </c>
      <c r="C207" s="25"/>
      <c r="D207" s="25"/>
      <c r="E207" s="25"/>
      <c r="F207" s="25"/>
    </row>
    <row r="208" spans="1:6" x14ac:dyDescent="0.25">
      <c r="A208" s="24" t="s">
        <v>156</v>
      </c>
      <c r="B208" s="24" t="s">
        <v>158</v>
      </c>
      <c r="C208" s="25"/>
      <c r="D208" s="25"/>
      <c r="E208" s="25"/>
      <c r="F208" s="25"/>
    </row>
    <row r="209" spans="1:6" ht="15.75" thickBot="1" x14ac:dyDescent="0.3">
      <c r="A209" s="28" t="s">
        <v>157</v>
      </c>
      <c r="B209" s="28" t="s">
        <v>588</v>
      </c>
      <c r="C209" s="29"/>
      <c r="D209" s="29"/>
      <c r="E209" s="29"/>
      <c r="F209" s="29"/>
    </row>
    <row r="210" spans="1:6" ht="15.75" thickBot="1" x14ac:dyDescent="0.3">
      <c r="A210" s="32" t="s">
        <v>161</v>
      </c>
      <c r="B210" s="32" t="s">
        <v>160</v>
      </c>
      <c r="C210" s="29"/>
      <c r="D210" s="29"/>
      <c r="E210" s="29"/>
      <c r="F210" s="29"/>
    </row>
    <row r="211" spans="1:6" ht="15.75" thickBot="1" x14ac:dyDescent="0.3">
      <c r="A211" s="26" t="s">
        <v>689</v>
      </c>
      <c r="B211" s="27" t="s">
        <v>145</v>
      </c>
      <c r="C211" s="27" t="s">
        <v>143</v>
      </c>
      <c r="D211" s="27" t="s">
        <v>695</v>
      </c>
      <c r="E211" s="27" t="s">
        <v>146</v>
      </c>
      <c r="F211" s="27" t="s">
        <v>2</v>
      </c>
    </row>
    <row r="212" spans="1:6" x14ac:dyDescent="0.25">
      <c r="A212" s="30" t="s">
        <v>144</v>
      </c>
      <c r="B212" s="33">
        <v>4</v>
      </c>
      <c r="C212" s="30" t="s">
        <v>149</v>
      </c>
      <c r="D212" s="30" t="s">
        <v>696</v>
      </c>
      <c r="E212" s="30"/>
      <c r="F212" s="30"/>
    </row>
    <row r="213" spans="1:6" x14ac:dyDescent="0.25">
      <c r="A213" s="30" t="s">
        <v>144</v>
      </c>
      <c r="B213" s="33">
        <v>4</v>
      </c>
      <c r="C213" s="31" t="s">
        <v>150</v>
      </c>
      <c r="D213" s="30" t="s">
        <v>696</v>
      </c>
      <c r="E213" s="30"/>
      <c r="F213" s="30"/>
    </row>
    <row r="214" spans="1:6" x14ac:dyDescent="0.25">
      <c r="A214" s="30" t="s">
        <v>144</v>
      </c>
      <c r="B214" s="33">
        <v>4</v>
      </c>
      <c r="C214" s="31" t="s">
        <v>151</v>
      </c>
      <c r="D214" s="30" t="s">
        <v>696</v>
      </c>
      <c r="E214" s="30"/>
      <c r="F214" s="30"/>
    </row>
    <row r="215" spans="1:6" x14ac:dyDescent="0.25">
      <c r="A215" s="30" t="s">
        <v>144</v>
      </c>
      <c r="B215" s="33">
        <v>4</v>
      </c>
      <c r="C215" s="31" t="s">
        <v>152</v>
      </c>
      <c r="D215" s="30" t="s">
        <v>696</v>
      </c>
      <c r="E215" s="30"/>
      <c r="F215" s="30"/>
    </row>
    <row r="216" spans="1:6" x14ac:dyDescent="0.25">
      <c r="A216" s="31" t="s">
        <v>144</v>
      </c>
      <c r="B216" s="33">
        <v>0.25</v>
      </c>
      <c r="C216" s="31" t="s">
        <v>153</v>
      </c>
      <c r="D216" s="30" t="s">
        <v>696</v>
      </c>
      <c r="E216" s="31"/>
      <c r="F216" s="31"/>
    </row>
    <row r="217" spans="1:6" x14ac:dyDescent="0.25">
      <c r="A217" s="31" t="s">
        <v>144</v>
      </c>
      <c r="B217" s="33">
        <v>0.25</v>
      </c>
      <c r="C217" s="31" t="s">
        <v>154</v>
      </c>
      <c r="D217" s="30" t="s">
        <v>696</v>
      </c>
      <c r="E217" s="31"/>
      <c r="F217" s="31"/>
    </row>
    <row r="218" spans="1:6" x14ac:dyDescent="0.25">
      <c r="A218" s="31" t="s">
        <v>144</v>
      </c>
      <c r="B218" s="33">
        <v>0.25</v>
      </c>
      <c r="C218" s="31" t="s">
        <v>586</v>
      </c>
      <c r="D218" s="30" t="s">
        <v>696</v>
      </c>
      <c r="E218" s="31"/>
      <c r="F218" s="31"/>
    </row>
    <row r="219" spans="1:6" x14ac:dyDescent="0.25">
      <c r="A219" s="31" t="s">
        <v>144</v>
      </c>
      <c r="B219" s="33">
        <v>0.25</v>
      </c>
      <c r="C219" s="31" t="s">
        <v>587</v>
      </c>
      <c r="D219" s="30" t="s">
        <v>696</v>
      </c>
      <c r="E219" s="31"/>
      <c r="F219" s="31"/>
    </row>
    <row r="220" spans="1:6" x14ac:dyDescent="0.25">
      <c r="A220" s="31" t="s">
        <v>144</v>
      </c>
      <c r="B220" s="33">
        <v>0.25</v>
      </c>
      <c r="C220" s="31" t="s">
        <v>266</v>
      </c>
      <c r="D220" s="30" t="s">
        <v>696</v>
      </c>
      <c r="E220" s="31"/>
      <c r="F220" s="31"/>
    </row>
    <row r="221" spans="1:6" x14ac:dyDescent="0.25">
      <c r="A221" s="31" t="s">
        <v>144</v>
      </c>
      <c r="B221" s="33">
        <v>0.25</v>
      </c>
      <c r="C221" s="31" t="s">
        <v>267</v>
      </c>
      <c r="D221" s="30" t="s">
        <v>696</v>
      </c>
      <c r="E221" s="31"/>
      <c r="F221" s="31"/>
    </row>
    <row r="222" spans="1:6" x14ac:dyDescent="0.25">
      <c r="A222" s="24" t="s">
        <v>155</v>
      </c>
      <c r="B222" s="24" t="s">
        <v>159</v>
      </c>
      <c r="C222" s="25"/>
      <c r="D222" s="25"/>
      <c r="E222" s="25"/>
      <c r="F222" s="25"/>
    </row>
    <row r="223" spans="1:6" x14ac:dyDescent="0.25">
      <c r="A223" s="24" t="s">
        <v>156</v>
      </c>
      <c r="B223" s="24" t="s">
        <v>158</v>
      </c>
      <c r="C223" s="25"/>
      <c r="D223" s="25"/>
      <c r="E223" s="25"/>
      <c r="F223" s="25"/>
    </row>
    <row r="224" spans="1:6" ht="15.75" thickBot="1" x14ac:dyDescent="0.3">
      <c r="A224" s="28" t="s">
        <v>157</v>
      </c>
      <c r="B224" s="28" t="s">
        <v>588</v>
      </c>
      <c r="C224" s="29"/>
      <c r="D224" s="29"/>
      <c r="E224" s="29"/>
      <c r="F224" s="29"/>
    </row>
    <row r="225" spans="1:6" ht="15.75" thickBot="1" x14ac:dyDescent="0.3">
      <c r="A225" s="32" t="s">
        <v>161</v>
      </c>
      <c r="B225" s="32" t="s">
        <v>160</v>
      </c>
      <c r="C225" s="29"/>
      <c r="D225" s="29"/>
      <c r="E225" s="29"/>
      <c r="F225" s="29"/>
    </row>
    <row r="226" spans="1:6" ht="15.75" thickBot="1" x14ac:dyDescent="0.3">
      <c r="A226" s="26" t="s">
        <v>764</v>
      </c>
      <c r="B226" s="27" t="s">
        <v>145</v>
      </c>
      <c r="C226" s="27" t="s">
        <v>143</v>
      </c>
      <c r="D226" s="27" t="s">
        <v>695</v>
      </c>
      <c r="E226" s="27" t="s">
        <v>146</v>
      </c>
      <c r="F226" s="27" t="s">
        <v>2</v>
      </c>
    </row>
    <row r="227" spans="1:6" x14ac:dyDescent="0.25">
      <c r="A227" s="30" t="s">
        <v>144</v>
      </c>
      <c r="B227" s="33">
        <v>4</v>
      </c>
      <c r="C227" s="30" t="s">
        <v>149</v>
      </c>
      <c r="D227" s="30" t="s">
        <v>696</v>
      </c>
      <c r="E227" s="30"/>
      <c r="F227" s="30"/>
    </row>
    <row r="228" spans="1:6" x14ac:dyDescent="0.25">
      <c r="A228" s="31" t="s">
        <v>144</v>
      </c>
      <c r="B228" s="33">
        <v>4</v>
      </c>
      <c r="C228" s="31" t="s">
        <v>150</v>
      </c>
      <c r="D228" s="30" t="s">
        <v>696</v>
      </c>
      <c r="E228" s="31"/>
      <c r="F228" s="31"/>
    </row>
    <row r="229" spans="1:6" x14ac:dyDescent="0.25">
      <c r="A229" s="31" t="s">
        <v>144</v>
      </c>
      <c r="B229" s="33">
        <v>4</v>
      </c>
      <c r="C229" s="31" t="s">
        <v>151</v>
      </c>
      <c r="D229" s="30" t="s">
        <v>696</v>
      </c>
      <c r="E229" s="31"/>
      <c r="F229" s="31"/>
    </row>
    <row r="230" spans="1:6" x14ac:dyDescent="0.25">
      <c r="A230" s="31" t="s">
        <v>144</v>
      </c>
      <c r="B230" s="33">
        <v>4</v>
      </c>
      <c r="C230" s="31" t="s">
        <v>152</v>
      </c>
      <c r="D230" s="30" t="s">
        <v>696</v>
      </c>
      <c r="E230" s="31"/>
      <c r="F230" s="31"/>
    </row>
    <row r="231" spans="1:6" x14ac:dyDescent="0.25">
      <c r="A231" s="31" t="s">
        <v>144</v>
      </c>
      <c r="B231" s="33">
        <v>0.25</v>
      </c>
      <c r="C231" s="31" t="s">
        <v>153</v>
      </c>
      <c r="D231" s="30" t="s">
        <v>696</v>
      </c>
      <c r="E231" s="31"/>
      <c r="F231" s="31"/>
    </row>
    <row r="232" spans="1:6" x14ac:dyDescent="0.25">
      <c r="A232" s="31" t="s">
        <v>144</v>
      </c>
      <c r="B232" s="33">
        <v>0.25</v>
      </c>
      <c r="C232" s="31" t="s">
        <v>154</v>
      </c>
      <c r="D232" s="30" t="s">
        <v>696</v>
      </c>
      <c r="E232" s="31"/>
      <c r="F232" s="31"/>
    </row>
    <row r="233" spans="1:6" x14ac:dyDescent="0.25">
      <c r="A233" s="31" t="s">
        <v>144</v>
      </c>
      <c r="B233" s="33">
        <v>0.25</v>
      </c>
      <c r="C233" s="31" t="s">
        <v>266</v>
      </c>
      <c r="D233" s="30" t="s">
        <v>696</v>
      </c>
      <c r="E233" s="31"/>
      <c r="F233" s="31"/>
    </row>
    <row r="234" spans="1:6" x14ac:dyDescent="0.25">
      <c r="A234" s="31" t="s">
        <v>144</v>
      </c>
      <c r="B234" s="33">
        <v>0.25</v>
      </c>
      <c r="C234" s="31" t="s">
        <v>267</v>
      </c>
      <c r="D234" s="30" t="s">
        <v>696</v>
      </c>
      <c r="E234" s="31"/>
      <c r="F234" s="31"/>
    </row>
    <row r="235" spans="1:6" x14ac:dyDescent="0.25">
      <c r="A235" s="24" t="s">
        <v>155</v>
      </c>
      <c r="B235" s="24" t="s">
        <v>159</v>
      </c>
      <c r="C235" s="25"/>
      <c r="D235" s="25"/>
      <c r="E235" s="25"/>
      <c r="F235" s="25"/>
    </row>
    <row r="236" spans="1:6" x14ac:dyDescent="0.25">
      <c r="A236" s="24" t="s">
        <v>156</v>
      </c>
      <c r="B236" s="24" t="s">
        <v>158</v>
      </c>
      <c r="C236" s="25"/>
      <c r="D236" s="25"/>
      <c r="E236" s="25"/>
      <c r="F236" s="25"/>
    </row>
    <row r="237" spans="1:6" ht="15.75" thickBot="1" x14ac:dyDescent="0.3">
      <c r="A237" s="28" t="s">
        <v>157</v>
      </c>
      <c r="B237" s="28" t="s">
        <v>588</v>
      </c>
      <c r="C237" s="29"/>
      <c r="D237" s="29"/>
      <c r="E237" s="29"/>
      <c r="F237" s="29"/>
    </row>
    <row r="238" spans="1:6" ht="15.75" thickBot="1" x14ac:dyDescent="0.3">
      <c r="A238" s="32" t="s">
        <v>161</v>
      </c>
      <c r="B238" s="32" t="s">
        <v>160</v>
      </c>
      <c r="C238" s="29"/>
      <c r="D238" s="29"/>
      <c r="E238" s="29"/>
      <c r="F238" s="29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8"/>
  <sheetViews>
    <sheetView workbookViewId="0">
      <selection activeCell="B66" sqref="B66"/>
    </sheetView>
  </sheetViews>
  <sheetFormatPr defaultColWidth="9.140625" defaultRowHeight="15" x14ac:dyDescent="0.25"/>
  <cols>
    <col min="1" max="1" width="56.42578125" style="12" bestFit="1" customWidth="1"/>
    <col min="2" max="2" width="45" style="12" customWidth="1"/>
    <col min="3" max="3" width="50.85546875" style="12" customWidth="1"/>
    <col min="4" max="16384" width="9.140625" style="1"/>
  </cols>
  <sheetData>
    <row r="1" spans="1:3" ht="15.75" thickBot="1" x14ac:dyDescent="0.3">
      <c r="A1" s="34" t="s">
        <v>195</v>
      </c>
      <c r="B1" s="22" t="s">
        <v>199</v>
      </c>
      <c r="C1" s="35" t="s">
        <v>200</v>
      </c>
    </row>
    <row r="2" spans="1:3" x14ac:dyDescent="0.25">
      <c r="A2" s="36" t="s">
        <v>196</v>
      </c>
      <c r="B2" s="30"/>
      <c r="C2" s="30"/>
    </row>
    <row r="3" spans="1:3" x14ac:dyDescent="0.25">
      <c r="A3" s="37" t="s">
        <v>238</v>
      </c>
      <c r="B3" s="31"/>
      <c r="C3" s="31"/>
    </row>
    <row r="4" spans="1:3" x14ac:dyDescent="0.25">
      <c r="A4" s="38" t="s">
        <v>198</v>
      </c>
      <c r="B4" s="39"/>
      <c r="C4" s="39" t="s">
        <v>201</v>
      </c>
    </row>
    <row r="5" spans="1:3" x14ac:dyDescent="0.25">
      <c r="A5" s="37" t="s">
        <v>197</v>
      </c>
      <c r="B5" s="31"/>
      <c r="C5" s="31"/>
    </row>
    <row r="6" spans="1:3" ht="15.75" thickBot="1" x14ac:dyDescent="0.3">
      <c r="A6" s="37" t="s">
        <v>255</v>
      </c>
      <c r="B6" s="31"/>
      <c r="C6" s="31"/>
    </row>
    <row r="7" spans="1:3" ht="15.75" thickBot="1" x14ac:dyDescent="0.3">
      <c r="A7" s="34" t="s">
        <v>253</v>
      </c>
      <c r="B7" s="22" t="s">
        <v>199</v>
      </c>
      <c r="C7" s="35" t="s">
        <v>200</v>
      </c>
    </row>
    <row r="8" spans="1:3" x14ac:dyDescent="0.25">
      <c r="A8" s="36" t="s">
        <v>236</v>
      </c>
      <c r="B8" s="30"/>
      <c r="C8" s="30"/>
    </row>
    <row r="9" spans="1:3" x14ac:dyDescent="0.25">
      <c r="A9" s="37" t="s">
        <v>237</v>
      </c>
      <c r="B9" s="31"/>
      <c r="C9" s="31"/>
    </row>
    <row r="10" spans="1:3" x14ac:dyDescent="0.25">
      <c r="A10" s="37" t="s">
        <v>242</v>
      </c>
      <c r="B10" s="31"/>
      <c r="C10" s="31"/>
    </row>
    <row r="11" spans="1:3" ht="15.75" thickBot="1" x14ac:dyDescent="0.3">
      <c r="A11" s="37" t="s">
        <v>243</v>
      </c>
      <c r="B11" s="31"/>
      <c r="C11" s="31"/>
    </row>
    <row r="12" spans="1:3" ht="15.75" thickBot="1" x14ac:dyDescent="0.3">
      <c r="A12" s="34" t="s">
        <v>254</v>
      </c>
      <c r="B12" s="22" t="s">
        <v>199</v>
      </c>
      <c r="C12" s="35" t="s">
        <v>200</v>
      </c>
    </row>
    <row r="13" spans="1:3" x14ac:dyDescent="0.25">
      <c r="A13" s="37" t="s">
        <v>239</v>
      </c>
      <c r="B13" s="31"/>
      <c r="C13" s="31"/>
    </row>
    <row r="14" spans="1:3" ht="15.75" thickBot="1" x14ac:dyDescent="0.3">
      <c r="A14" s="37" t="s">
        <v>244</v>
      </c>
      <c r="B14" s="31"/>
      <c r="C14" s="31"/>
    </row>
    <row r="15" spans="1:3" ht="15.75" thickBot="1" x14ac:dyDescent="0.3">
      <c r="A15" s="34" t="s">
        <v>202</v>
      </c>
      <c r="B15" s="22" t="s">
        <v>199</v>
      </c>
      <c r="C15" s="35" t="s">
        <v>200</v>
      </c>
    </row>
    <row r="16" spans="1:3" x14ac:dyDescent="0.25">
      <c r="A16" s="36" t="s">
        <v>203</v>
      </c>
      <c r="B16" s="30"/>
      <c r="C16" s="30"/>
    </row>
    <row r="17" spans="1:3" x14ac:dyDescent="0.25">
      <c r="A17" s="37" t="s">
        <v>204</v>
      </c>
      <c r="B17" s="31"/>
      <c r="C17" s="31"/>
    </row>
    <row r="18" spans="1:3" x14ac:dyDescent="0.25">
      <c r="A18" s="37" t="s">
        <v>205</v>
      </c>
      <c r="B18" s="31"/>
      <c r="C18" s="31"/>
    </row>
    <row r="19" spans="1:3" x14ac:dyDescent="0.25">
      <c r="A19" s="37" t="s">
        <v>206</v>
      </c>
      <c r="B19" s="31"/>
      <c r="C19" s="31"/>
    </row>
    <row r="20" spans="1:3" x14ac:dyDescent="0.25">
      <c r="A20" s="37" t="s">
        <v>207</v>
      </c>
      <c r="B20" s="31"/>
      <c r="C20" s="31"/>
    </row>
    <row r="21" spans="1:3" x14ac:dyDescent="0.25">
      <c r="A21" s="37" t="s">
        <v>208</v>
      </c>
      <c r="B21" s="31"/>
      <c r="C21" s="31"/>
    </row>
    <row r="22" spans="1:3" x14ac:dyDescent="0.25">
      <c r="A22" s="37" t="s">
        <v>209</v>
      </c>
      <c r="B22" s="31"/>
      <c r="C22" s="31"/>
    </row>
    <row r="23" spans="1:3" x14ac:dyDescent="0.25">
      <c r="A23" s="37" t="s">
        <v>210</v>
      </c>
      <c r="B23" s="31"/>
      <c r="C23" s="31"/>
    </row>
    <row r="24" spans="1:3" x14ac:dyDescent="0.25">
      <c r="A24" s="37" t="s">
        <v>211</v>
      </c>
      <c r="B24" s="31"/>
      <c r="C24" s="31"/>
    </row>
    <row r="25" spans="1:3" ht="15.75" thickBot="1" x14ac:dyDescent="0.3">
      <c r="A25" s="38" t="s">
        <v>212</v>
      </c>
      <c r="B25" s="39"/>
      <c r="C25" s="39"/>
    </row>
    <row r="26" spans="1:3" ht="15.75" thickBot="1" x14ac:dyDescent="0.3">
      <c r="A26" s="34" t="s">
        <v>213</v>
      </c>
      <c r="B26" s="22" t="s">
        <v>199</v>
      </c>
      <c r="C26" s="35" t="s">
        <v>200</v>
      </c>
    </row>
    <row r="27" spans="1:3" x14ac:dyDescent="0.25">
      <c r="A27" s="36" t="s">
        <v>214</v>
      </c>
      <c r="B27" s="30"/>
      <c r="C27" s="30"/>
    </row>
    <row r="28" spans="1:3" x14ac:dyDescent="0.25">
      <c r="A28" s="37" t="s">
        <v>215</v>
      </c>
      <c r="B28" s="31"/>
      <c r="C28" s="31"/>
    </row>
    <row r="29" spans="1:3" x14ac:dyDescent="0.25">
      <c r="A29" s="37" t="s">
        <v>216</v>
      </c>
      <c r="B29" s="31"/>
      <c r="C29" s="31"/>
    </row>
    <row r="30" spans="1:3" x14ac:dyDescent="0.25">
      <c r="A30" s="37" t="s">
        <v>217</v>
      </c>
      <c r="B30" s="31"/>
      <c r="C30" s="31"/>
    </row>
    <row r="31" spans="1:3" ht="15.75" thickBot="1" x14ac:dyDescent="0.3">
      <c r="A31" s="38" t="s">
        <v>218</v>
      </c>
      <c r="B31" s="39"/>
      <c r="C31" s="39"/>
    </row>
    <row r="32" spans="1:3" ht="15.75" thickBot="1" x14ac:dyDescent="0.3">
      <c r="A32" s="34" t="s">
        <v>219</v>
      </c>
      <c r="B32" s="22" t="s">
        <v>199</v>
      </c>
      <c r="C32" s="35" t="s">
        <v>200</v>
      </c>
    </row>
    <row r="33" spans="1:3" x14ac:dyDescent="0.25">
      <c r="A33" s="36" t="s">
        <v>220</v>
      </c>
      <c r="B33" s="30"/>
      <c r="C33" s="30"/>
    </row>
    <row r="34" spans="1:3" x14ac:dyDescent="0.25">
      <c r="A34" s="37" t="s">
        <v>221</v>
      </c>
      <c r="B34" s="31"/>
      <c r="C34" s="31"/>
    </row>
    <row r="35" spans="1:3" x14ac:dyDescent="0.25">
      <c r="A35" s="37" t="s">
        <v>222</v>
      </c>
      <c r="B35" s="31"/>
      <c r="C35" s="31"/>
    </row>
    <row r="36" spans="1:3" x14ac:dyDescent="0.25">
      <c r="A36" s="37" t="s">
        <v>223</v>
      </c>
      <c r="B36" s="31"/>
      <c r="C36" s="31"/>
    </row>
    <row r="37" spans="1:3" x14ac:dyDescent="0.25">
      <c r="A37" s="37" t="s">
        <v>224</v>
      </c>
      <c r="B37" s="31"/>
      <c r="C37" s="31"/>
    </row>
    <row r="38" spans="1:3" x14ac:dyDescent="0.25">
      <c r="A38" s="37" t="s">
        <v>225</v>
      </c>
      <c r="B38" s="31"/>
      <c r="C38" s="31"/>
    </row>
    <row r="39" spans="1:3" x14ac:dyDescent="0.25">
      <c r="A39" s="37" t="s">
        <v>226</v>
      </c>
      <c r="B39" s="31"/>
      <c r="C39" s="31"/>
    </row>
    <row r="40" spans="1:3" x14ac:dyDescent="0.25">
      <c r="A40" s="37" t="s">
        <v>227</v>
      </c>
      <c r="B40" s="31"/>
      <c r="C40" s="31"/>
    </row>
    <row r="41" spans="1:3" ht="15.75" thickBot="1" x14ac:dyDescent="0.3">
      <c r="A41" s="38" t="s">
        <v>228</v>
      </c>
      <c r="B41" s="39"/>
      <c r="C41" s="39"/>
    </row>
    <row r="42" spans="1:3" ht="15.75" thickBot="1" x14ac:dyDescent="0.3">
      <c r="A42" s="34" t="s">
        <v>229</v>
      </c>
      <c r="B42" s="22" t="s">
        <v>199</v>
      </c>
      <c r="C42" s="35" t="s">
        <v>200</v>
      </c>
    </row>
    <row r="43" spans="1:3" x14ac:dyDescent="0.25">
      <c r="A43" s="36" t="s">
        <v>230</v>
      </c>
      <c r="B43" s="30"/>
      <c r="C43" s="30"/>
    </row>
    <row r="44" spans="1:3" x14ac:dyDescent="0.25">
      <c r="A44" s="37" t="s">
        <v>231</v>
      </c>
      <c r="B44" s="31"/>
      <c r="C44" s="31"/>
    </row>
    <row r="45" spans="1:3" x14ac:dyDescent="0.25">
      <c r="A45" s="37" t="s">
        <v>232</v>
      </c>
      <c r="B45" s="31"/>
      <c r="C45" s="31"/>
    </row>
    <row r="46" spans="1:3" x14ac:dyDescent="0.25">
      <c r="A46" s="37" t="s">
        <v>233</v>
      </c>
      <c r="B46" s="31"/>
      <c r="C46" s="31"/>
    </row>
    <row r="47" spans="1:3" x14ac:dyDescent="0.25">
      <c r="A47" s="37" t="s">
        <v>234</v>
      </c>
      <c r="B47" s="31"/>
      <c r="C47" s="31"/>
    </row>
    <row r="48" spans="1:3" ht="15.75" thickBot="1" x14ac:dyDescent="0.3">
      <c r="A48" s="38" t="s">
        <v>235</v>
      </c>
      <c r="B48" s="39"/>
      <c r="C48" s="39"/>
    </row>
    <row r="49" spans="1:3" ht="15.75" thickBot="1" x14ac:dyDescent="0.3">
      <c r="A49" s="34" t="s">
        <v>245</v>
      </c>
      <c r="B49" s="22" t="s">
        <v>199</v>
      </c>
      <c r="C49" s="35" t="s">
        <v>200</v>
      </c>
    </row>
    <row r="50" spans="1:3" x14ac:dyDescent="0.25">
      <c r="A50" s="36" t="s">
        <v>246</v>
      </c>
      <c r="B50" s="30"/>
      <c r="C50" s="30"/>
    </row>
    <row r="51" spans="1:3" x14ac:dyDescent="0.25">
      <c r="A51" s="37" t="s">
        <v>247</v>
      </c>
      <c r="B51" s="31"/>
      <c r="C51" s="31"/>
    </row>
    <row r="52" spans="1:3" x14ac:dyDescent="0.25">
      <c r="A52" s="37" t="s">
        <v>248</v>
      </c>
      <c r="B52" s="31"/>
      <c r="C52" s="31"/>
    </row>
    <row r="53" spans="1:3" x14ac:dyDescent="0.25">
      <c r="A53" s="37" t="s">
        <v>249</v>
      </c>
      <c r="B53" s="31"/>
      <c r="C53" s="31"/>
    </row>
    <row r="54" spans="1:3" x14ac:dyDescent="0.25">
      <c r="A54" s="37" t="s">
        <v>250</v>
      </c>
      <c r="B54" s="31"/>
      <c r="C54" s="31"/>
    </row>
    <row r="55" spans="1:3" x14ac:dyDescent="0.25">
      <c r="A55" s="37" t="s">
        <v>241</v>
      </c>
      <c r="B55" s="31"/>
      <c r="C55" s="31"/>
    </row>
    <row r="56" spans="1:3" x14ac:dyDescent="0.25">
      <c r="A56" s="38" t="s">
        <v>240</v>
      </c>
      <c r="B56" s="39"/>
      <c r="C56" s="39"/>
    </row>
    <row r="57" spans="1:3" x14ac:dyDescent="0.25">
      <c r="A57" s="37" t="s">
        <v>251</v>
      </c>
      <c r="B57" s="31"/>
      <c r="C57" s="31"/>
    </row>
    <row r="58" spans="1:3" x14ac:dyDescent="0.25">
      <c r="A58" s="37" t="s">
        <v>252</v>
      </c>
      <c r="B58" s="31"/>
      <c r="C58" s="31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5"/>
  <sheetViews>
    <sheetView workbookViewId="0">
      <selection activeCell="F34" sqref="F34"/>
    </sheetView>
  </sheetViews>
  <sheetFormatPr defaultColWidth="9.140625" defaultRowHeight="15" x14ac:dyDescent="0.25"/>
  <cols>
    <col min="1" max="2" width="9.140625" style="103"/>
    <col min="3" max="3" width="19.5703125" style="114" bestFit="1" customWidth="1"/>
    <col min="4" max="5" width="19.5703125" style="115" customWidth="1"/>
    <col min="6" max="6" width="22.85546875" style="115" bestFit="1" customWidth="1"/>
    <col min="7" max="7" width="22.28515625" style="115" bestFit="1" customWidth="1"/>
    <col min="8" max="8" width="16.5703125" style="115" bestFit="1" customWidth="1"/>
    <col min="9" max="9" width="24.42578125" style="115" bestFit="1" customWidth="1"/>
    <col min="10" max="10" width="14.28515625" style="115" bestFit="1" customWidth="1"/>
    <col min="11" max="11" width="16.85546875" style="115" bestFit="1" customWidth="1"/>
    <col min="12" max="12" width="13.85546875" style="115" bestFit="1" customWidth="1"/>
    <col min="13" max="13" width="11.5703125" style="115" bestFit="1" customWidth="1"/>
    <col min="14" max="14" width="73.5703125" style="103" bestFit="1" customWidth="1"/>
    <col min="15" max="16384" width="9.140625" style="103"/>
  </cols>
  <sheetData>
    <row r="1" spans="1:14" x14ac:dyDescent="0.25">
      <c r="A1" s="99" t="s">
        <v>409</v>
      </c>
      <c r="B1" s="99" t="s">
        <v>5</v>
      </c>
      <c r="C1" s="100" t="s">
        <v>410</v>
      </c>
      <c r="D1" s="101" t="s">
        <v>411</v>
      </c>
      <c r="E1" s="101" t="s">
        <v>412</v>
      </c>
      <c r="F1" s="101" t="s">
        <v>413</v>
      </c>
      <c r="G1" s="101" t="s">
        <v>414</v>
      </c>
      <c r="H1" s="101" t="s">
        <v>415</v>
      </c>
      <c r="I1" s="101" t="s">
        <v>416</v>
      </c>
      <c r="J1" s="101" t="s">
        <v>417</v>
      </c>
      <c r="K1" s="102" t="s">
        <v>418</v>
      </c>
      <c r="L1" s="102" t="s">
        <v>419</v>
      </c>
      <c r="M1" s="102" t="s">
        <v>420</v>
      </c>
      <c r="N1" s="99" t="s">
        <v>200</v>
      </c>
    </row>
    <row r="2" spans="1:14" x14ac:dyDescent="0.25">
      <c r="A2" s="104" t="s">
        <v>421</v>
      </c>
      <c r="B2" s="104" t="s">
        <v>422</v>
      </c>
      <c r="C2" s="105" t="s">
        <v>423</v>
      </c>
      <c r="D2" s="106" t="s">
        <v>424</v>
      </c>
      <c r="E2" s="106" t="s">
        <v>425</v>
      </c>
      <c r="F2" s="106" t="s">
        <v>426</v>
      </c>
      <c r="G2" s="106" t="s">
        <v>427</v>
      </c>
      <c r="H2" s="106" t="s">
        <v>428</v>
      </c>
      <c r="I2" s="106" t="s">
        <v>429</v>
      </c>
      <c r="J2" s="106" t="s">
        <v>430</v>
      </c>
      <c r="K2" s="107" t="s">
        <v>430</v>
      </c>
      <c r="L2" s="107" t="s">
        <v>431</v>
      </c>
      <c r="M2" s="107" t="s">
        <v>432</v>
      </c>
      <c r="N2" s="104" t="s">
        <v>433</v>
      </c>
    </row>
    <row r="3" spans="1:14" x14ac:dyDescent="0.25">
      <c r="A3" s="104" t="s">
        <v>421</v>
      </c>
      <c r="B3" s="104" t="s">
        <v>422</v>
      </c>
      <c r="C3" s="108" t="s">
        <v>434</v>
      </c>
      <c r="D3" s="107" t="s">
        <v>435</v>
      </c>
      <c r="E3" s="107" t="s">
        <v>436</v>
      </c>
      <c r="F3" s="107" t="s">
        <v>437</v>
      </c>
      <c r="G3" s="107" t="s">
        <v>438</v>
      </c>
      <c r="H3" s="107" t="s">
        <v>439</v>
      </c>
      <c r="I3" s="107" t="s">
        <v>440</v>
      </c>
      <c r="J3" s="107" t="s">
        <v>437</v>
      </c>
      <c r="K3" s="107" t="s">
        <v>437</v>
      </c>
      <c r="L3" s="107" t="s">
        <v>441</v>
      </c>
      <c r="M3" s="107" t="s">
        <v>442</v>
      </c>
      <c r="N3" s="104" t="s">
        <v>443</v>
      </c>
    </row>
    <row r="4" spans="1:14" x14ac:dyDescent="0.25">
      <c r="A4" s="104" t="s">
        <v>421</v>
      </c>
      <c r="B4" s="104" t="s">
        <v>422</v>
      </c>
      <c r="C4" s="108" t="s">
        <v>444</v>
      </c>
      <c r="D4" s="107" t="s">
        <v>445</v>
      </c>
      <c r="E4" s="107" t="s">
        <v>445</v>
      </c>
      <c r="F4" s="107" t="s">
        <v>446</v>
      </c>
      <c r="G4" s="107" t="s">
        <v>447</v>
      </c>
      <c r="H4" s="107" t="s">
        <v>448</v>
      </c>
      <c r="I4" s="107" t="s">
        <v>449</v>
      </c>
      <c r="J4" s="107" t="s">
        <v>450</v>
      </c>
      <c r="K4" s="107" t="s">
        <v>450</v>
      </c>
      <c r="L4" s="107" t="s">
        <v>451</v>
      </c>
      <c r="M4" s="107" t="s">
        <v>432</v>
      </c>
      <c r="N4" s="104"/>
    </row>
    <row r="5" spans="1:14" x14ac:dyDescent="0.25">
      <c r="A5" s="104" t="s">
        <v>421</v>
      </c>
      <c r="B5" s="104" t="s">
        <v>422</v>
      </c>
      <c r="C5" s="108" t="s">
        <v>452</v>
      </c>
      <c r="D5" s="107" t="s">
        <v>453</v>
      </c>
      <c r="E5" s="107" t="s">
        <v>453</v>
      </c>
      <c r="F5" s="107" t="s">
        <v>454</v>
      </c>
      <c r="G5" s="107" t="s">
        <v>455</v>
      </c>
      <c r="H5" s="107" t="s">
        <v>456</v>
      </c>
      <c r="I5" s="107" t="s">
        <v>457</v>
      </c>
      <c r="J5" s="107" t="s">
        <v>458</v>
      </c>
      <c r="K5" s="107" t="s">
        <v>458</v>
      </c>
      <c r="L5" s="107" t="s">
        <v>459</v>
      </c>
      <c r="M5" s="107" t="s">
        <v>460</v>
      </c>
      <c r="N5" s="104" t="s">
        <v>461</v>
      </c>
    </row>
    <row r="6" spans="1:14" x14ac:dyDescent="0.25">
      <c r="A6" s="104" t="s">
        <v>421</v>
      </c>
      <c r="B6" s="104" t="s">
        <v>422</v>
      </c>
      <c r="C6" s="108" t="s">
        <v>462</v>
      </c>
      <c r="D6" s="107" t="s">
        <v>463</v>
      </c>
      <c r="E6" s="107" t="s">
        <v>463</v>
      </c>
      <c r="F6" s="107" t="s">
        <v>464</v>
      </c>
      <c r="G6" s="107" t="s">
        <v>465</v>
      </c>
      <c r="H6" s="107" t="s">
        <v>466</v>
      </c>
      <c r="I6" s="107" t="s">
        <v>467</v>
      </c>
      <c r="J6" s="107" t="s">
        <v>468</v>
      </c>
      <c r="K6" s="107" t="s">
        <v>468</v>
      </c>
      <c r="L6" s="107" t="s">
        <v>469</v>
      </c>
      <c r="M6" s="107" t="s">
        <v>470</v>
      </c>
      <c r="N6" s="104" t="s">
        <v>471</v>
      </c>
    </row>
    <row r="7" spans="1:14" x14ac:dyDescent="0.25">
      <c r="A7" s="104" t="s">
        <v>421</v>
      </c>
      <c r="B7" s="104" t="s">
        <v>422</v>
      </c>
      <c r="C7" s="108" t="s">
        <v>472</v>
      </c>
      <c r="D7" s="107" t="s">
        <v>463</v>
      </c>
      <c r="E7" s="107" t="s">
        <v>463</v>
      </c>
      <c r="F7" s="107" t="s">
        <v>464</v>
      </c>
      <c r="G7" s="107" t="s">
        <v>465</v>
      </c>
      <c r="H7" s="107" t="s">
        <v>466</v>
      </c>
      <c r="I7" s="107" t="s">
        <v>467</v>
      </c>
      <c r="J7" s="107" t="s">
        <v>468</v>
      </c>
      <c r="K7" s="107" t="s">
        <v>468</v>
      </c>
      <c r="L7" s="107" t="s">
        <v>469</v>
      </c>
      <c r="M7" s="107" t="s">
        <v>470</v>
      </c>
      <c r="N7" s="104" t="s">
        <v>471</v>
      </c>
    </row>
    <row r="8" spans="1:14" x14ac:dyDescent="0.25">
      <c r="A8" s="104" t="s">
        <v>421</v>
      </c>
      <c r="B8" s="104" t="s">
        <v>422</v>
      </c>
      <c r="C8" s="108" t="s">
        <v>473</v>
      </c>
      <c r="D8" s="107" t="s">
        <v>474</v>
      </c>
      <c r="E8" s="107" t="s">
        <v>474</v>
      </c>
      <c r="F8" s="107" t="s">
        <v>475</v>
      </c>
      <c r="G8" s="107" t="s">
        <v>476</v>
      </c>
      <c r="H8" s="107" t="s">
        <v>477</v>
      </c>
      <c r="I8" s="107" t="s">
        <v>478</v>
      </c>
      <c r="J8" s="107" t="s">
        <v>479</v>
      </c>
      <c r="K8" s="107" t="s">
        <v>479</v>
      </c>
      <c r="L8" s="107" t="s">
        <v>475</v>
      </c>
      <c r="M8" s="107" t="s">
        <v>480</v>
      </c>
      <c r="N8" s="104"/>
    </row>
    <row r="9" spans="1:14" x14ac:dyDescent="0.25">
      <c r="A9" s="104" t="s">
        <v>421</v>
      </c>
      <c r="B9" s="104" t="s">
        <v>422</v>
      </c>
      <c r="C9" s="108" t="s">
        <v>481</v>
      </c>
      <c r="D9" s="107" t="s">
        <v>482</v>
      </c>
      <c r="E9" s="107" t="s">
        <v>482</v>
      </c>
      <c r="F9" s="107" t="s">
        <v>483</v>
      </c>
      <c r="G9" s="107" t="s">
        <v>484</v>
      </c>
      <c r="H9" s="107" t="s">
        <v>485</v>
      </c>
      <c r="I9" s="107" t="s">
        <v>486</v>
      </c>
      <c r="J9" s="107" t="s">
        <v>487</v>
      </c>
      <c r="K9" s="107" t="s">
        <v>487</v>
      </c>
      <c r="L9" s="107" t="s">
        <v>488</v>
      </c>
      <c r="M9" s="107" t="s">
        <v>489</v>
      </c>
      <c r="N9" s="104" t="s">
        <v>490</v>
      </c>
    </row>
    <row r="10" spans="1:14" x14ac:dyDescent="0.25">
      <c r="A10" s="104" t="s">
        <v>421</v>
      </c>
      <c r="B10" s="104" t="s">
        <v>422</v>
      </c>
      <c r="C10" s="108" t="s">
        <v>491</v>
      </c>
      <c r="D10" s="107" t="s">
        <v>482</v>
      </c>
      <c r="E10" s="107" t="s">
        <v>482</v>
      </c>
      <c r="F10" s="107" t="s">
        <v>483</v>
      </c>
      <c r="G10" s="107" t="s">
        <v>484</v>
      </c>
      <c r="H10" s="107" t="s">
        <v>485</v>
      </c>
      <c r="I10" s="107" t="s">
        <v>486</v>
      </c>
      <c r="J10" s="107" t="s">
        <v>487</v>
      </c>
      <c r="K10" s="107" t="s">
        <v>487</v>
      </c>
      <c r="L10" s="107" t="s">
        <v>492</v>
      </c>
      <c r="M10" s="107" t="s">
        <v>489</v>
      </c>
      <c r="N10" s="104" t="s">
        <v>490</v>
      </c>
    </row>
    <row r="11" spans="1:14" x14ac:dyDescent="0.25">
      <c r="A11" s="104" t="s">
        <v>421</v>
      </c>
      <c r="B11" s="104" t="s">
        <v>422</v>
      </c>
      <c r="C11" s="108" t="s">
        <v>493</v>
      </c>
      <c r="D11" s="107" t="s">
        <v>494</v>
      </c>
      <c r="E11" s="107" t="s">
        <v>494</v>
      </c>
      <c r="F11" s="107" t="s">
        <v>495</v>
      </c>
      <c r="G11" s="107" t="s">
        <v>496</v>
      </c>
      <c r="H11" s="107" t="s">
        <v>497</v>
      </c>
      <c r="I11" s="107" t="s">
        <v>498</v>
      </c>
      <c r="J11" s="107" t="s">
        <v>499</v>
      </c>
      <c r="K11" s="107" t="s">
        <v>499</v>
      </c>
      <c r="L11" s="107" t="s">
        <v>500</v>
      </c>
      <c r="M11" s="107" t="s">
        <v>501</v>
      </c>
      <c r="N11" s="104"/>
    </row>
    <row r="12" spans="1:14" x14ac:dyDescent="0.25">
      <c r="A12" s="104" t="s">
        <v>421</v>
      </c>
      <c r="B12" s="104" t="s">
        <v>422</v>
      </c>
      <c r="C12" s="108" t="s">
        <v>502</v>
      </c>
      <c r="D12" s="107" t="s">
        <v>503</v>
      </c>
      <c r="E12" s="107" t="s">
        <v>503</v>
      </c>
      <c r="F12" s="107" t="s">
        <v>504</v>
      </c>
      <c r="G12" s="107" t="s">
        <v>505</v>
      </c>
      <c r="H12" s="107" t="s">
        <v>506</v>
      </c>
      <c r="I12" s="107" t="s">
        <v>507</v>
      </c>
      <c r="J12" s="107" t="s">
        <v>508</v>
      </c>
      <c r="K12" s="107" t="s">
        <v>508</v>
      </c>
      <c r="L12" s="107" t="s">
        <v>509</v>
      </c>
      <c r="M12" s="107" t="s">
        <v>510</v>
      </c>
      <c r="N12" s="104"/>
    </row>
    <row r="13" spans="1:14" x14ac:dyDescent="0.25">
      <c r="A13" s="104" t="s">
        <v>421</v>
      </c>
      <c r="B13" s="104" t="s">
        <v>422</v>
      </c>
      <c r="C13" s="108" t="s">
        <v>511</v>
      </c>
      <c r="D13" s="107" t="s">
        <v>512</v>
      </c>
      <c r="E13" s="107" t="s">
        <v>512</v>
      </c>
      <c r="F13" s="107" t="s">
        <v>513</v>
      </c>
      <c r="G13" s="107" t="s">
        <v>514</v>
      </c>
      <c r="H13" s="107" t="s">
        <v>515</v>
      </c>
      <c r="I13" s="107" t="s">
        <v>516</v>
      </c>
      <c r="J13" s="107" t="s">
        <v>517</v>
      </c>
      <c r="K13" s="107" t="s">
        <v>517</v>
      </c>
      <c r="L13" s="107" t="s">
        <v>518</v>
      </c>
      <c r="M13" s="107" t="s">
        <v>519</v>
      </c>
      <c r="N13" s="104"/>
    </row>
    <row r="14" spans="1:14" x14ac:dyDescent="0.25">
      <c r="A14" s="104" t="s">
        <v>421</v>
      </c>
      <c r="B14" s="104" t="s">
        <v>422</v>
      </c>
      <c r="C14" s="104" t="s">
        <v>520</v>
      </c>
      <c r="D14" s="107" t="s">
        <v>521</v>
      </c>
      <c r="E14" s="107" t="s">
        <v>521</v>
      </c>
      <c r="F14" s="107" t="s">
        <v>522</v>
      </c>
      <c r="G14" s="107" t="s">
        <v>523</v>
      </c>
      <c r="H14" s="107" t="s">
        <v>524</v>
      </c>
      <c r="I14" s="107" t="s">
        <v>525</v>
      </c>
      <c r="J14" s="107" t="s">
        <v>517</v>
      </c>
      <c r="K14" s="107" t="s">
        <v>517</v>
      </c>
      <c r="L14" s="107" t="s">
        <v>518</v>
      </c>
      <c r="M14" s="107" t="s">
        <v>526</v>
      </c>
      <c r="N14" s="104"/>
    </row>
    <row r="15" spans="1:14" x14ac:dyDescent="0.25">
      <c r="A15" s="109" t="s">
        <v>527</v>
      </c>
      <c r="B15" s="109" t="s">
        <v>422</v>
      </c>
      <c r="C15" s="110" t="s">
        <v>423</v>
      </c>
      <c r="D15" s="111" t="s">
        <v>528</v>
      </c>
      <c r="E15" s="111" t="s">
        <v>529</v>
      </c>
      <c r="F15" s="112" t="s">
        <v>426</v>
      </c>
      <c r="G15" s="112" t="s">
        <v>427</v>
      </c>
      <c r="H15" s="112" t="s">
        <v>428</v>
      </c>
      <c r="I15" s="112" t="s">
        <v>429</v>
      </c>
      <c r="J15" s="112" t="s">
        <v>430</v>
      </c>
      <c r="K15" s="111" t="s">
        <v>430</v>
      </c>
      <c r="L15" s="111" t="s">
        <v>431</v>
      </c>
      <c r="M15" s="111" t="s">
        <v>432</v>
      </c>
      <c r="N15" s="109" t="s">
        <v>530</v>
      </c>
    </row>
    <row r="16" spans="1:14" x14ac:dyDescent="0.25">
      <c r="A16" s="109" t="s">
        <v>527</v>
      </c>
      <c r="B16" s="109" t="s">
        <v>422</v>
      </c>
      <c r="C16" s="113" t="s">
        <v>434</v>
      </c>
      <c r="D16" s="111" t="s">
        <v>531</v>
      </c>
      <c r="E16" s="111" t="s">
        <v>532</v>
      </c>
      <c r="F16" s="111" t="s">
        <v>437</v>
      </c>
      <c r="G16" s="111" t="s">
        <v>438</v>
      </c>
      <c r="H16" s="111" t="s">
        <v>439</v>
      </c>
      <c r="I16" s="111" t="s">
        <v>440</v>
      </c>
      <c r="J16" s="111" t="s">
        <v>437</v>
      </c>
      <c r="K16" s="111" t="s">
        <v>437</v>
      </c>
      <c r="L16" s="111" t="s">
        <v>441</v>
      </c>
      <c r="M16" s="111" t="s">
        <v>442</v>
      </c>
      <c r="N16" s="109"/>
    </row>
    <row r="17" spans="1:14" x14ac:dyDescent="0.25">
      <c r="A17" s="109" t="s">
        <v>527</v>
      </c>
      <c r="B17" s="109" t="s">
        <v>422</v>
      </c>
      <c r="C17" s="113" t="s">
        <v>444</v>
      </c>
      <c r="D17" s="111" t="s">
        <v>533</v>
      </c>
      <c r="E17" s="111" t="s">
        <v>533</v>
      </c>
      <c r="F17" s="111" t="s">
        <v>446</v>
      </c>
      <c r="G17" s="111" t="s">
        <v>447</v>
      </c>
      <c r="H17" s="111" t="s">
        <v>448</v>
      </c>
      <c r="I17" s="111" t="s">
        <v>449</v>
      </c>
      <c r="J17" s="111" t="s">
        <v>450</v>
      </c>
      <c r="K17" s="111" t="s">
        <v>450</v>
      </c>
      <c r="L17" s="111" t="s">
        <v>451</v>
      </c>
      <c r="M17" s="111" t="s">
        <v>432</v>
      </c>
      <c r="N17" s="109"/>
    </row>
    <row r="18" spans="1:14" x14ac:dyDescent="0.25">
      <c r="A18" s="109" t="s">
        <v>527</v>
      </c>
      <c r="B18" s="109" t="s">
        <v>422</v>
      </c>
      <c r="C18" s="113" t="s">
        <v>452</v>
      </c>
      <c r="D18" s="111" t="s">
        <v>534</v>
      </c>
      <c r="E18" s="111" t="s">
        <v>534</v>
      </c>
      <c r="F18" s="111" t="s">
        <v>454</v>
      </c>
      <c r="G18" s="111" t="s">
        <v>455</v>
      </c>
      <c r="H18" s="111" t="s">
        <v>456</v>
      </c>
      <c r="I18" s="111" t="s">
        <v>457</v>
      </c>
      <c r="J18" s="111" t="s">
        <v>458</v>
      </c>
      <c r="K18" s="111" t="s">
        <v>458</v>
      </c>
      <c r="L18" s="111" t="s">
        <v>459</v>
      </c>
      <c r="M18" s="111" t="s">
        <v>460</v>
      </c>
      <c r="N18" s="109"/>
    </row>
    <row r="19" spans="1:14" x14ac:dyDescent="0.25">
      <c r="A19" s="109" t="s">
        <v>527</v>
      </c>
      <c r="B19" s="109" t="s">
        <v>422</v>
      </c>
      <c r="C19" s="113" t="s">
        <v>462</v>
      </c>
      <c r="D19" s="111" t="s">
        <v>535</v>
      </c>
      <c r="E19" s="111" t="s">
        <v>535</v>
      </c>
      <c r="F19" s="111" t="s">
        <v>464</v>
      </c>
      <c r="G19" s="111" t="s">
        <v>465</v>
      </c>
      <c r="H19" s="111" t="s">
        <v>466</v>
      </c>
      <c r="I19" s="111" t="s">
        <v>467</v>
      </c>
      <c r="J19" s="111" t="s">
        <v>468</v>
      </c>
      <c r="K19" s="111" t="s">
        <v>468</v>
      </c>
      <c r="L19" s="111" t="s">
        <v>469</v>
      </c>
      <c r="M19" s="111" t="s">
        <v>470</v>
      </c>
      <c r="N19" s="109"/>
    </row>
    <row r="20" spans="1:14" x14ac:dyDescent="0.25">
      <c r="A20" s="109" t="s">
        <v>527</v>
      </c>
      <c r="B20" s="109" t="s">
        <v>422</v>
      </c>
      <c r="C20" s="113" t="s">
        <v>472</v>
      </c>
      <c r="D20" s="111" t="s">
        <v>535</v>
      </c>
      <c r="E20" s="111" t="s">
        <v>535</v>
      </c>
      <c r="F20" s="111" t="s">
        <v>464</v>
      </c>
      <c r="G20" s="111" t="s">
        <v>465</v>
      </c>
      <c r="H20" s="111" t="s">
        <v>466</v>
      </c>
      <c r="I20" s="111" t="s">
        <v>467</v>
      </c>
      <c r="J20" s="111" t="s">
        <v>468</v>
      </c>
      <c r="K20" s="111" t="s">
        <v>468</v>
      </c>
      <c r="L20" s="111" t="s">
        <v>469</v>
      </c>
      <c r="M20" s="111" t="s">
        <v>470</v>
      </c>
      <c r="N20" s="109"/>
    </row>
    <row r="21" spans="1:14" x14ac:dyDescent="0.25">
      <c r="A21" s="109" t="s">
        <v>527</v>
      </c>
      <c r="B21" s="109" t="s">
        <v>422</v>
      </c>
      <c r="C21" s="113" t="s">
        <v>473</v>
      </c>
      <c r="D21" s="111" t="s">
        <v>536</v>
      </c>
      <c r="E21" s="111" t="s">
        <v>536</v>
      </c>
      <c r="F21" s="111" t="s">
        <v>475</v>
      </c>
      <c r="G21" s="111" t="s">
        <v>476</v>
      </c>
      <c r="H21" s="111" t="s">
        <v>477</v>
      </c>
      <c r="I21" s="111" t="s">
        <v>478</v>
      </c>
      <c r="J21" s="111" t="s">
        <v>479</v>
      </c>
      <c r="K21" s="111" t="s">
        <v>479</v>
      </c>
      <c r="L21" s="111" t="s">
        <v>475</v>
      </c>
      <c r="M21" s="111" t="s">
        <v>480</v>
      </c>
      <c r="N21" s="109"/>
    </row>
    <row r="22" spans="1:14" x14ac:dyDescent="0.25">
      <c r="A22" s="109" t="s">
        <v>527</v>
      </c>
      <c r="B22" s="109" t="s">
        <v>422</v>
      </c>
      <c r="C22" s="113" t="s">
        <v>481</v>
      </c>
      <c r="D22" s="111" t="s">
        <v>537</v>
      </c>
      <c r="E22" s="111" t="s">
        <v>537</v>
      </c>
      <c r="F22" s="111" t="s">
        <v>483</v>
      </c>
      <c r="G22" s="111" t="s">
        <v>484</v>
      </c>
      <c r="H22" s="111" t="s">
        <v>485</v>
      </c>
      <c r="I22" s="111" t="s">
        <v>486</v>
      </c>
      <c r="J22" s="111" t="s">
        <v>487</v>
      </c>
      <c r="K22" s="111" t="s">
        <v>487</v>
      </c>
      <c r="L22" s="111" t="s">
        <v>488</v>
      </c>
      <c r="M22" s="111" t="s">
        <v>489</v>
      </c>
      <c r="N22" s="109"/>
    </row>
    <row r="23" spans="1:14" x14ac:dyDescent="0.25">
      <c r="A23" s="109" t="s">
        <v>527</v>
      </c>
      <c r="B23" s="109" t="s">
        <v>422</v>
      </c>
      <c r="C23" s="113" t="s">
        <v>491</v>
      </c>
      <c r="D23" s="111" t="s">
        <v>537</v>
      </c>
      <c r="E23" s="111" t="s">
        <v>537</v>
      </c>
      <c r="F23" s="111" t="s">
        <v>483</v>
      </c>
      <c r="G23" s="111" t="s">
        <v>484</v>
      </c>
      <c r="H23" s="111" t="s">
        <v>485</v>
      </c>
      <c r="I23" s="111" t="s">
        <v>486</v>
      </c>
      <c r="J23" s="111" t="s">
        <v>487</v>
      </c>
      <c r="K23" s="111" t="s">
        <v>487</v>
      </c>
      <c r="L23" s="111" t="s">
        <v>492</v>
      </c>
      <c r="M23" s="111" t="s">
        <v>489</v>
      </c>
      <c r="N23" s="109"/>
    </row>
    <row r="24" spans="1:14" x14ac:dyDescent="0.25">
      <c r="A24" s="109" t="s">
        <v>527</v>
      </c>
      <c r="B24" s="109" t="s">
        <v>422</v>
      </c>
      <c r="C24" s="113" t="s">
        <v>493</v>
      </c>
      <c r="D24" s="111" t="s">
        <v>538</v>
      </c>
      <c r="E24" s="111" t="s">
        <v>538</v>
      </c>
      <c r="F24" s="111" t="s">
        <v>495</v>
      </c>
      <c r="G24" s="111" t="s">
        <v>496</v>
      </c>
      <c r="H24" s="111" t="s">
        <v>497</v>
      </c>
      <c r="I24" s="111" t="s">
        <v>498</v>
      </c>
      <c r="J24" s="111" t="s">
        <v>499</v>
      </c>
      <c r="K24" s="111" t="s">
        <v>499</v>
      </c>
      <c r="L24" s="111" t="s">
        <v>500</v>
      </c>
      <c r="M24" s="111" t="s">
        <v>501</v>
      </c>
      <c r="N24" s="109"/>
    </row>
    <row r="25" spans="1:14" x14ac:dyDescent="0.25">
      <c r="A25" s="109" t="s">
        <v>527</v>
      </c>
      <c r="B25" s="109" t="s">
        <v>422</v>
      </c>
      <c r="C25" s="113" t="s">
        <v>502</v>
      </c>
      <c r="D25" s="111" t="s">
        <v>482</v>
      </c>
      <c r="E25" s="111" t="s">
        <v>482</v>
      </c>
      <c r="F25" s="111" t="s">
        <v>504</v>
      </c>
      <c r="G25" s="111" t="s">
        <v>505</v>
      </c>
      <c r="H25" s="111" t="s">
        <v>506</v>
      </c>
      <c r="I25" s="111" t="s">
        <v>507</v>
      </c>
      <c r="J25" s="111" t="s">
        <v>508</v>
      </c>
      <c r="K25" s="111" t="s">
        <v>508</v>
      </c>
      <c r="L25" s="111" t="s">
        <v>509</v>
      </c>
      <c r="M25" s="111" t="s">
        <v>510</v>
      </c>
      <c r="N25" s="109"/>
    </row>
    <row r="26" spans="1:14" x14ac:dyDescent="0.25">
      <c r="A26" s="109" t="s">
        <v>527</v>
      </c>
      <c r="B26" s="109" t="s">
        <v>422</v>
      </c>
      <c r="C26" s="113" t="s">
        <v>511</v>
      </c>
      <c r="D26" s="111" t="s">
        <v>539</v>
      </c>
      <c r="E26" s="111" t="s">
        <v>539</v>
      </c>
      <c r="F26" s="111" t="s">
        <v>513</v>
      </c>
      <c r="G26" s="111" t="s">
        <v>514</v>
      </c>
      <c r="H26" s="111" t="s">
        <v>515</v>
      </c>
      <c r="I26" s="111" t="s">
        <v>516</v>
      </c>
      <c r="J26" s="111" t="s">
        <v>517</v>
      </c>
      <c r="K26" s="111" t="s">
        <v>517</v>
      </c>
      <c r="L26" s="111" t="s">
        <v>518</v>
      </c>
      <c r="M26" s="111" t="s">
        <v>519</v>
      </c>
      <c r="N26" s="109"/>
    </row>
    <row r="27" spans="1:14" x14ac:dyDescent="0.25">
      <c r="A27" s="109" t="s">
        <v>527</v>
      </c>
      <c r="B27" s="109" t="s">
        <v>422</v>
      </c>
      <c r="C27" s="109" t="s">
        <v>520</v>
      </c>
      <c r="D27" s="111" t="s">
        <v>468</v>
      </c>
      <c r="E27" s="111" t="s">
        <v>468</v>
      </c>
      <c r="F27" s="111" t="s">
        <v>522</v>
      </c>
      <c r="G27" s="111" t="s">
        <v>523</v>
      </c>
      <c r="H27" s="111" t="s">
        <v>524</v>
      </c>
      <c r="I27" s="111" t="s">
        <v>525</v>
      </c>
      <c r="J27" s="111" t="s">
        <v>517</v>
      </c>
      <c r="K27" s="111" t="s">
        <v>517</v>
      </c>
      <c r="L27" s="111" t="s">
        <v>518</v>
      </c>
      <c r="M27" s="111" t="s">
        <v>526</v>
      </c>
      <c r="N27" s="109"/>
    </row>
    <row r="28" spans="1:14" x14ac:dyDescent="0.25">
      <c r="A28" s="104" t="s">
        <v>421</v>
      </c>
      <c r="B28" s="104" t="s">
        <v>540</v>
      </c>
      <c r="C28" s="105" t="s">
        <v>423</v>
      </c>
      <c r="D28" s="107"/>
      <c r="E28" s="107"/>
      <c r="F28" s="107"/>
      <c r="G28" s="107"/>
      <c r="H28" s="107"/>
      <c r="I28" s="107"/>
      <c r="J28" s="107"/>
      <c r="K28" s="107"/>
      <c r="L28" s="107"/>
      <c r="M28" s="107"/>
      <c r="N28" s="104" t="s">
        <v>541</v>
      </c>
    </row>
    <row r="29" spans="1:14" x14ac:dyDescent="0.25">
      <c r="A29" s="104" t="s">
        <v>421</v>
      </c>
      <c r="B29" s="104" t="s">
        <v>540</v>
      </c>
      <c r="C29" s="108" t="s">
        <v>434</v>
      </c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4"/>
    </row>
    <row r="30" spans="1:14" x14ac:dyDescent="0.25">
      <c r="A30" s="104" t="s">
        <v>421</v>
      </c>
      <c r="B30" s="104" t="s">
        <v>540</v>
      </c>
      <c r="C30" s="108" t="s">
        <v>444</v>
      </c>
      <c r="D30" s="107"/>
      <c r="E30" s="107"/>
      <c r="F30" s="107"/>
      <c r="G30" s="107"/>
      <c r="H30" s="107"/>
      <c r="I30" s="107"/>
      <c r="J30" s="107"/>
      <c r="K30" s="107"/>
      <c r="L30" s="107"/>
      <c r="M30" s="107"/>
      <c r="N30" s="104"/>
    </row>
    <row r="31" spans="1:14" x14ac:dyDescent="0.25">
      <c r="A31" s="104" t="s">
        <v>421</v>
      </c>
      <c r="B31" s="104" t="s">
        <v>540</v>
      </c>
      <c r="C31" s="108" t="s">
        <v>452</v>
      </c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4"/>
    </row>
    <row r="32" spans="1:14" x14ac:dyDescent="0.25">
      <c r="A32" s="104" t="s">
        <v>421</v>
      </c>
      <c r="B32" s="104" t="s">
        <v>540</v>
      </c>
      <c r="C32" s="108" t="s">
        <v>462</v>
      </c>
      <c r="D32" s="107"/>
      <c r="E32" s="107"/>
      <c r="F32" s="107"/>
      <c r="G32" s="107"/>
      <c r="H32" s="107"/>
      <c r="I32" s="107"/>
      <c r="J32" s="107"/>
      <c r="K32" s="107"/>
      <c r="L32" s="107"/>
      <c r="M32" s="107"/>
      <c r="N32" s="104"/>
    </row>
    <row r="33" spans="1:14" x14ac:dyDescent="0.25">
      <c r="A33" s="104" t="s">
        <v>421</v>
      </c>
      <c r="B33" s="104" t="s">
        <v>540</v>
      </c>
      <c r="C33" s="108" t="s">
        <v>472</v>
      </c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4"/>
    </row>
    <row r="34" spans="1:14" x14ac:dyDescent="0.25">
      <c r="A34" s="104" t="s">
        <v>421</v>
      </c>
      <c r="B34" s="104" t="s">
        <v>540</v>
      </c>
      <c r="C34" s="108" t="s">
        <v>473</v>
      </c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4"/>
    </row>
    <row r="35" spans="1:14" x14ac:dyDescent="0.25">
      <c r="A35" s="104" t="s">
        <v>421</v>
      </c>
      <c r="B35" s="104" t="s">
        <v>540</v>
      </c>
      <c r="C35" s="108" t="s">
        <v>481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4"/>
    </row>
    <row r="36" spans="1:14" x14ac:dyDescent="0.25">
      <c r="A36" s="104" t="s">
        <v>421</v>
      </c>
      <c r="B36" s="104" t="s">
        <v>540</v>
      </c>
      <c r="C36" s="108" t="s">
        <v>491</v>
      </c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4"/>
    </row>
    <row r="37" spans="1:14" x14ac:dyDescent="0.25">
      <c r="A37" s="104" t="s">
        <v>421</v>
      </c>
      <c r="B37" s="104" t="s">
        <v>540</v>
      </c>
      <c r="C37" s="108" t="s">
        <v>493</v>
      </c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4"/>
    </row>
    <row r="38" spans="1:14" x14ac:dyDescent="0.25">
      <c r="A38" s="104" t="s">
        <v>421</v>
      </c>
      <c r="B38" s="104" t="s">
        <v>540</v>
      </c>
      <c r="C38" s="108" t="s">
        <v>502</v>
      </c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4"/>
    </row>
    <row r="39" spans="1:14" x14ac:dyDescent="0.25">
      <c r="A39" s="104" t="s">
        <v>421</v>
      </c>
      <c r="B39" s="104" t="s">
        <v>540</v>
      </c>
      <c r="C39" s="108" t="s">
        <v>511</v>
      </c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4"/>
    </row>
    <row r="40" spans="1:14" x14ac:dyDescent="0.25">
      <c r="A40" s="104" t="s">
        <v>421</v>
      </c>
      <c r="B40" s="104" t="s">
        <v>540</v>
      </c>
      <c r="C40" s="104" t="s">
        <v>520</v>
      </c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4"/>
    </row>
    <row r="41" spans="1:14" x14ac:dyDescent="0.25">
      <c r="A41" s="109" t="s">
        <v>527</v>
      </c>
      <c r="B41" s="109" t="s">
        <v>540</v>
      </c>
      <c r="C41" s="110" t="s">
        <v>423</v>
      </c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09"/>
    </row>
    <row r="42" spans="1:14" x14ac:dyDescent="0.25">
      <c r="A42" s="109" t="s">
        <v>527</v>
      </c>
      <c r="B42" s="109" t="s">
        <v>540</v>
      </c>
      <c r="C42" s="113" t="s">
        <v>434</v>
      </c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09"/>
    </row>
    <row r="43" spans="1:14" x14ac:dyDescent="0.25">
      <c r="A43" s="109" t="s">
        <v>527</v>
      </c>
      <c r="B43" s="109" t="s">
        <v>540</v>
      </c>
      <c r="C43" s="113" t="s">
        <v>444</v>
      </c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09"/>
    </row>
    <row r="44" spans="1:14" x14ac:dyDescent="0.25">
      <c r="A44" s="109" t="s">
        <v>527</v>
      </c>
      <c r="B44" s="109" t="s">
        <v>540</v>
      </c>
      <c r="C44" s="113" t="s">
        <v>452</v>
      </c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09"/>
    </row>
    <row r="45" spans="1:14" x14ac:dyDescent="0.25">
      <c r="A45" s="109" t="s">
        <v>527</v>
      </c>
      <c r="B45" s="109" t="s">
        <v>540</v>
      </c>
      <c r="C45" s="113" t="s">
        <v>462</v>
      </c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09"/>
    </row>
    <row r="46" spans="1:14" x14ac:dyDescent="0.25">
      <c r="A46" s="109" t="s">
        <v>527</v>
      </c>
      <c r="B46" s="109" t="s">
        <v>540</v>
      </c>
      <c r="C46" s="113" t="s">
        <v>472</v>
      </c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09"/>
    </row>
    <row r="47" spans="1:14" x14ac:dyDescent="0.25">
      <c r="A47" s="109" t="s">
        <v>527</v>
      </c>
      <c r="B47" s="109" t="s">
        <v>540</v>
      </c>
      <c r="C47" s="113" t="s">
        <v>473</v>
      </c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09"/>
    </row>
    <row r="48" spans="1:14" x14ac:dyDescent="0.25">
      <c r="A48" s="109" t="s">
        <v>527</v>
      </c>
      <c r="B48" s="109" t="s">
        <v>540</v>
      </c>
      <c r="C48" s="113" t="s">
        <v>481</v>
      </c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09"/>
    </row>
    <row r="49" spans="1:14" x14ac:dyDescent="0.25">
      <c r="A49" s="109" t="s">
        <v>527</v>
      </c>
      <c r="B49" s="109" t="s">
        <v>540</v>
      </c>
      <c r="C49" s="113" t="s">
        <v>491</v>
      </c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09"/>
    </row>
    <row r="50" spans="1:14" x14ac:dyDescent="0.25">
      <c r="A50" s="109" t="s">
        <v>527</v>
      </c>
      <c r="B50" s="109" t="s">
        <v>540</v>
      </c>
      <c r="C50" s="113" t="s">
        <v>493</v>
      </c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09"/>
    </row>
    <row r="51" spans="1:14" x14ac:dyDescent="0.25">
      <c r="A51" s="109" t="s">
        <v>527</v>
      </c>
      <c r="B51" s="109" t="s">
        <v>540</v>
      </c>
      <c r="C51" s="113" t="s">
        <v>502</v>
      </c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09"/>
    </row>
    <row r="52" spans="1:14" x14ac:dyDescent="0.25">
      <c r="A52" s="109" t="s">
        <v>527</v>
      </c>
      <c r="B52" s="109" t="s">
        <v>540</v>
      </c>
      <c r="C52" s="113" t="s">
        <v>511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09"/>
    </row>
    <row r="53" spans="1:14" x14ac:dyDescent="0.25">
      <c r="A53" s="109" t="s">
        <v>527</v>
      </c>
      <c r="B53" s="109" t="s">
        <v>540</v>
      </c>
      <c r="C53" s="109" t="s">
        <v>520</v>
      </c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09"/>
    </row>
    <row r="54" spans="1:14" x14ac:dyDescent="0.25">
      <c r="A54" s="104" t="s">
        <v>421</v>
      </c>
      <c r="B54" s="104" t="s">
        <v>542</v>
      </c>
      <c r="C54" s="105" t="s">
        <v>423</v>
      </c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4" t="s">
        <v>541</v>
      </c>
    </row>
    <row r="55" spans="1:14" x14ac:dyDescent="0.25">
      <c r="A55" s="104" t="s">
        <v>421</v>
      </c>
      <c r="B55" s="104" t="s">
        <v>542</v>
      </c>
      <c r="C55" s="108" t="s">
        <v>434</v>
      </c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4"/>
    </row>
    <row r="56" spans="1:14" x14ac:dyDescent="0.25">
      <c r="A56" s="104" t="s">
        <v>421</v>
      </c>
      <c r="B56" s="104" t="s">
        <v>542</v>
      </c>
      <c r="C56" s="108" t="s">
        <v>444</v>
      </c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4"/>
    </row>
    <row r="57" spans="1:14" x14ac:dyDescent="0.25">
      <c r="A57" s="104" t="s">
        <v>421</v>
      </c>
      <c r="B57" s="104" t="s">
        <v>542</v>
      </c>
      <c r="C57" s="108" t="s">
        <v>452</v>
      </c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4"/>
    </row>
    <row r="58" spans="1:14" x14ac:dyDescent="0.25">
      <c r="A58" s="104" t="s">
        <v>421</v>
      </c>
      <c r="B58" s="104" t="s">
        <v>542</v>
      </c>
      <c r="C58" s="108" t="s">
        <v>462</v>
      </c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4"/>
    </row>
    <row r="59" spans="1:14" x14ac:dyDescent="0.25">
      <c r="A59" s="104" t="s">
        <v>421</v>
      </c>
      <c r="B59" s="104" t="s">
        <v>542</v>
      </c>
      <c r="C59" s="108" t="s">
        <v>472</v>
      </c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4"/>
    </row>
    <row r="60" spans="1:14" x14ac:dyDescent="0.25">
      <c r="A60" s="104" t="s">
        <v>421</v>
      </c>
      <c r="B60" s="104" t="s">
        <v>542</v>
      </c>
      <c r="C60" s="108" t="s">
        <v>473</v>
      </c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4"/>
    </row>
    <row r="61" spans="1:14" x14ac:dyDescent="0.25">
      <c r="A61" s="104" t="s">
        <v>421</v>
      </c>
      <c r="B61" s="104" t="s">
        <v>542</v>
      </c>
      <c r="C61" s="108" t="s">
        <v>481</v>
      </c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4"/>
    </row>
    <row r="62" spans="1:14" x14ac:dyDescent="0.25">
      <c r="A62" s="104" t="s">
        <v>421</v>
      </c>
      <c r="B62" s="104" t="s">
        <v>542</v>
      </c>
      <c r="C62" s="108" t="s">
        <v>491</v>
      </c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04"/>
    </row>
    <row r="63" spans="1:14" x14ac:dyDescent="0.25">
      <c r="A63" s="104" t="s">
        <v>421</v>
      </c>
      <c r="B63" s="104" t="s">
        <v>542</v>
      </c>
      <c r="C63" s="108" t="s">
        <v>493</v>
      </c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4"/>
    </row>
    <row r="64" spans="1:14" x14ac:dyDescent="0.25">
      <c r="A64" s="104" t="s">
        <v>421</v>
      </c>
      <c r="B64" s="104" t="s">
        <v>542</v>
      </c>
      <c r="C64" s="108" t="s">
        <v>502</v>
      </c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4"/>
    </row>
    <row r="65" spans="1:14" x14ac:dyDescent="0.25">
      <c r="A65" s="104" t="s">
        <v>421</v>
      </c>
      <c r="B65" s="104" t="s">
        <v>542</v>
      </c>
      <c r="C65" s="108" t="s">
        <v>511</v>
      </c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4"/>
    </row>
    <row r="66" spans="1:14" x14ac:dyDescent="0.25">
      <c r="A66" s="104" t="s">
        <v>421</v>
      </c>
      <c r="B66" s="104" t="s">
        <v>542</v>
      </c>
      <c r="C66" s="104" t="s">
        <v>520</v>
      </c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4"/>
    </row>
    <row r="67" spans="1:14" x14ac:dyDescent="0.25">
      <c r="A67" s="109" t="s">
        <v>527</v>
      </c>
      <c r="B67" s="109" t="s">
        <v>542</v>
      </c>
      <c r="C67" s="110" t="s">
        <v>423</v>
      </c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09"/>
    </row>
    <row r="68" spans="1:14" x14ac:dyDescent="0.25">
      <c r="A68" s="109" t="s">
        <v>527</v>
      </c>
      <c r="B68" s="109" t="s">
        <v>542</v>
      </c>
      <c r="C68" s="113" t="s">
        <v>434</v>
      </c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09"/>
    </row>
    <row r="69" spans="1:14" x14ac:dyDescent="0.25">
      <c r="A69" s="109" t="s">
        <v>527</v>
      </c>
      <c r="B69" s="109" t="s">
        <v>542</v>
      </c>
      <c r="C69" s="113" t="s">
        <v>444</v>
      </c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09"/>
    </row>
    <row r="70" spans="1:14" x14ac:dyDescent="0.25">
      <c r="A70" s="109" t="s">
        <v>527</v>
      </c>
      <c r="B70" s="109" t="s">
        <v>542</v>
      </c>
      <c r="C70" s="113" t="s">
        <v>452</v>
      </c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09"/>
    </row>
    <row r="71" spans="1:14" x14ac:dyDescent="0.25">
      <c r="A71" s="109" t="s">
        <v>527</v>
      </c>
      <c r="B71" s="109" t="s">
        <v>542</v>
      </c>
      <c r="C71" s="113" t="s">
        <v>462</v>
      </c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09"/>
    </row>
    <row r="72" spans="1:14" x14ac:dyDescent="0.25">
      <c r="A72" s="109" t="s">
        <v>527</v>
      </c>
      <c r="B72" s="109" t="s">
        <v>542</v>
      </c>
      <c r="C72" s="113" t="s">
        <v>472</v>
      </c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09"/>
    </row>
    <row r="73" spans="1:14" x14ac:dyDescent="0.25">
      <c r="A73" s="109" t="s">
        <v>527</v>
      </c>
      <c r="B73" s="109" t="s">
        <v>542</v>
      </c>
      <c r="C73" s="113" t="s">
        <v>473</v>
      </c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09"/>
    </row>
    <row r="74" spans="1:14" x14ac:dyDescent="0.25">
      <c r="A74" s="109" t="s">
        <v>527</v>
      </c>
      <c r="B74" s="109" t="s">
        <v>542</v>
      </c>
      <c r="C74" s="113" t="s">
        <v>481</v>
      </c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09"/>
    </row>
    <row r="75" spans="1:14" x14ac:dyDescent="0.25">
      <c r="A75" s="109" t="s">
        <v>527</v>
      </c>
      <c r="B75" s="109" t="s">
        <v>542</v>
      </c>
      <c r="C75" s="113" t="s">
        <v>491</v>
      </c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09"/>
    </row>
    <row r="76" spans="1:14" x14ac:dyDescent="0.25">
      <c r="A76" s="109" t="s">
        <v>527</v>
      </c>
      <c r="B76" s="109" t="s">
        <v>542</v>
      </c>
      <c r="C76" s="113" t="s">
        <v>493</v>
      </c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09"/>
    </row>
    <row r="77" spans="1:14" x14ac:dyDescent="0.25">
      <c r="A77" s="109" t="s">
        <v>527</v>
      </c>
      <c r="B77" s="109" t="s">
        <v>542</v>
      </c>
      <c r="C77" s="113" t="s">
        <v>502</v>
      </c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09"/>
    </row>
    <row r="78" spans="1:14" x14ac:dyDescent="0.25">
      <c r="A78" s="109" t="s">
        <v>527</v>
      </c>
      <c r="B78" s="109" t="s">
        <v>542</v>
      </c>
      <c r="C78" s="113" t="s">
        <v>511</v>
      </c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09"/>
    </row>
    <row r="79" spans="1:14" x14ac:dyDescent="0.25">
      <c r="A79" s="109" t="s">
        <v>527</v>
      </c>
      <c r="B79" s="109" t="s">
        <v>542</v>
      </c>
      <c r="C79" s="109" t="s">
        <v>520</v>
      </c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09"/>
    </row>
    <row r="80" spans="1:14" x14ac:dyDescent="0.25">
      <c r="A80" s="104" t="s">
        <v>421</v>
      </c>
      <c r="B80" s="104" t="s">
        <v>543</v>
      </c>
      <c r="C80" s="105" t="s">
        <v>423</v>
      </c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4" t="s">
        <v>541</v>
      </c>
    </row>
    <row r="81" spans="1:14" x14ac:dyDescent="0.25">
      <c r="A81" s="104" t="s">
        <v>421</v>
      </c>
      <c r="B81" s="104" t="s">
        <v>543</v>
      </c>
      <c r="C81" s="108" t="s">
        <v>434</v>
      </c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4"/>
    </row>
    <row r="82" spans="1:14" x14ac:dyDescent="0.25">
      <c r="A82" s="104" t="s">
        <v>421</v>
      </c>
      <c r="B82" s="104" t="s">
        <v>543</v>
      </c>
      <c r="C82" s="108" t="s">
        <v>444</v>
      </c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4"/>
    </row>
    <row r="83" spans="1:14" x14ac:dyDescent="0.25">
      <c r="A83" s="104" t="s">
        <v>421</v>
      </c>
      <c r="B83" s="104" t="s">
        <v>543</v>
      </c>
      <c r="C83" s="108" t="s">
        <v>452</v>
      </c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4"/>
    </row>
    <row r="84" spans="1:14" x14ac:dyDescent="0.25">
      <c r="A84" s="104" t="s">
        <v>421</v>
      </c>
      <c r="B84" s="104" t="s">
        <v>543</v>
      </c>
      <c r="C84" s="108" t="s">
        <v>462</v>
      </c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4"/>
    </row>
    <row r="85" spans="1:14" x14ac:dyDescent="0.25">
      <c r="A85" s="104" t="s">
        <v>421</v>
      </c>
      <c r="B85" s="104" t="s">
        <v>543</v>
      </c>
      <c r="C85" s="108" t="s">
        <v>472</v>
      </c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4"/>
    </row>
    <row r="86" spans="1:14" x14ac:dyDescent="0.25">
      <c r="A86" s="104" t="s">
        <v>421</v>
      </c>
      <c r="B86" s="104" t="s">
        <v>543</v>
      </c>
      <c r="C86" s="108" t="s">
        <v>473</v>
      </c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4"/>
    </row>
    <row r="87" spans="1:14" x14ac:dyDescent="0.25">
      <c r="A87" s="104" t="s">
        <v>421</v>
      </c>
      <c r="B87" s="104" t="s">
        <v>543</v>
      </c>
      <c r="C87" s="108" t="s">
        <v>481</v>
      </c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4"/>
    </row>
    <row r="88" spans="1:14" x14ac:dyDescent="0.25">
      <c r="A88" s="104" t="s">
        <v>421</v>
      </c>
      <c r="B88" s="104" t="s">
        <v>543</v>
      </c>
      <c r="C88" s="108" t="s">
        <v>491</v>
      </c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4"/>
    </row>
    <row r="89" spans="1:14" x14ac:dyDescent="0.25">
      <c r="A89" s="104" t="s">
        <v>421</v>
      </c>
      <c r="B89" s="104" t="s">
        <v>543</v>
      </c>
      <c r="C89" s="108" t="s">
        <v>493</v>
      </c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4"/>
    </row>
    <row r="90" spans="1:14" x14ac:dyDescent="0.25">
      <c r="A90" s="104" t="s">
        <v>421</v>
      </c>
      <c r="B90" s="104" t="s">
        <v>543</v>
      </c>
      <c r="C90" s="108" t="s">
        <v>502</v>
      </c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4"/>
    </row>
    <row r="91" spans="1:14" x14ac:dyDescent="0.25">
      <c r="A91" s="104" t="s">
        <v>421</v>
      </c>
      <c r="B91" s="104" t="s">
        <v>543</v>
      </c>
      <c r="C91" s="108" t="s">
        <v>511</v>
      </c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4"/>
    </row>
    <row r="92" spans="1:14" x14ac:dyDescent="0.25">
      <c r="A92" s="104" t="s">
        <v>421</v>
      </c>
      <c r="B92" s="104" t="s">
        <v>543</v>
      </c>
      <c r="C92" s="104" t="s">
        <v>520</v>
      </c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4"/>
    </row>
    <row r="93" spans="1:14" x14ac:dyDescent="0.25">
      <c r="A93" s="109" t="s">
        <v>527</v>
      </c>
      <c r="B93" s="109" t="s">
        <v>543</v>
      </c>
      <c r="C93" s="110" t="s">
        <v>423</v>
      </c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09"/>
    </row>
    <row r="94" spans="1:14" x14ac:dyDescent="0.25">
      <c r="A94" s="109" t="s">
        <v>527</v>
      </c>
      <c r="B94" s="109" t="s">
        <v>543</v>
      </c>
      <c r="C94" s="113" t="s">
        <v>434</v>
      </c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09"/>
    </row>
    <row r="95" spans="1:14" x14ac:dyDescent="0.25">
      <c r="A95" s="109" t="s">
        <v>527</v>
      </c>
      <c r="B95" s="109" t="s">
        <v>543</v>
      </c>
      <c r="C95" s="113" t="s">
        <v>444</v>
      </c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09"/>
    </row>
    <row r="96" spans="1:14" x14ac:dyDescent="0.25">
      <c r="A96" s="109" t="s">
        <v>527</v>
      </c>
      <c r="B96" s="109" t="s">
        <v>543</v>
      </c>
      <c r="C96" s="113" t="s">
        <v>452</v>
      </c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09"/>
    </row>
    <row r="97" spans="1:14" x14ac:dyDescent="0.25">
      <c r="A97" s="109" t="s">
        <v>527</v>
      </c>
      <c r="B97" s="109" t="s">
        <v>543</v>
      </c>
      <c r="C97" s="113" t="s">
        <v>462</v>
      </c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09"/>
    </row>
    <row r="98" spans="1:14" x14ac:dyDescent="0.25">
      <c r="A98" s="109" t="s">
        <v>527</v>
      </c>
      <c r="B98" s="109" t="s">
        <v>543</v>
      </c>
      <c r="C98" s="113" t="s">
        <v>472</v>
      </c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09"/>
    </row>
    <row r="99" spans="1:14" x14ac:dyDescent="0.25">
      <c r="A99" s="109" t="s">
        <v>527</v>
      </c>
      <c r="B99" s="109" t="s">
        <v>543</v>
      </c>
      <c r="C99" s="113" t="s">
        <v>473</v>
      </c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09"/>
    </row>
    <row r="100" spans="1:14" x14ac:dyDescent="0.25">
      <c r="A100" s="109" t="s">
        <v>527</v>
      </c>
      <c r="B100" s="109" t="s">
        <v>543</v>
      </c>
      <c r="C100" s="113" t="s">
        <v>481</v>
      </c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09"/>
    </row>
    <row r="101" spans="1:14" x14ac:dyDescent="0.25">
      <c r="A101" s="109" t="s">
        <v>527</v>
      </c>
      <c r="B101" s="109" t="s">
        <v>543</v>
      </c>
      <c r="C101" s="113" t="s">
        <v>491</v>
      </c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09"/>
    </row>
    <row r="102" spans="1:14" x14ac:dyDescent="0.25">
      <c r="A102" s="109" t="s">
        <v>527</v>
      </c>
      <c r="B102" s="109" t="s">
        <v>543</v>
      </c>
      <c r="C102" s="113" t="s">
        <v>493</v>
      </c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09"/>
    </row>
    <row r="103" spans="1:14" x14ac:dyDescent="0.25">
      <c r="A103" s="109" t="s">
        <v>527</v>
      </c>
      <c r="B103" s="109" t="s">
        <v>543</v>
      </c>
      <c r="C103" s="113" t="s">
        <v>502</v>
      </c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09"/>
    </row>
    <row r="104" spans="1:14" x14ac:dyDescent="0.25">
      <c r="A104" s="109" t="s">
        <v>527</v>
      </c>
      <c r="B104" s="109" t="s">
        <v>543</v>
      </c>
      <c r="C104" s="113" t="s">
        <v>511</v>
      </c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09"/>
    </row>
    <row r="105" spans="1:14" x14ac:dyDescent="0.25">
      <c r="A105" s="109" t="s">
        <v>527</v>
      </c>
      <c r="B105" s="109" t="s">
        <v>543</v>
      </c>
      <c r="C105" s="109" t="s">
        <v>520</v>
      </c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0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Patients</vt:lpstr>
      <vt:lpstr>Substances</vt:lpstr>
      <vt:lpstr>Compounds</vt:lpstr>
      <vt:lpstr>Environment</vt:lpstr>
      <vt:lpstr>Nutrition</vt:lpstr>
      <vt:lpstr>ECG</vt:lpstr>
      <vt:lpstr>Stabilization</vt:lpstr>
      <vt:lpstr>Configuration</vt:lpstr>
      <vt:lpstr>Tissue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Yeshitila Gebremichael ARA/SED</dc:creator>
  <cp:lastModifiedBy>Jeff Webb</cp:lastModifiedBy>
  <dcterms:created xsi:type="dcterms:W3CDTF">2014-03-26T17:20:14Z</dcterms:created>
  <dcterms:modified xsi:type="dcterms:W3CDTF">2024-04-23T13:25:39Z</dcterms:modified>
</cp:coreProperties>
</file>