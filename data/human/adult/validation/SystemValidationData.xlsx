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Work\Source\Pulse\ventilator_scenarios\source\data\human\adult\validation\"/>
    </mc:Choice>
  </mc:AlternateContent>
  <xr:revisionPtr revIDLastSave="0" documentId="13_ncr:1_{6B0EF5D0-CF4A-4CA9-BCE4-CBF453498BFA}" xr6:coauthVersionLast="47" xr6:coauthVersionMax="47" xr10:uidLastSave="{00000000-0000-0000-0000-000000000000}"/>
  <bookViews>
    <workbookView xWindow="18420" yWindow="3915" windowWidth="34530" windowHeight="26775" tabRatio="500" activeTab="1"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0" i="2" l="1"/>
  <c r="B71" i="2"/>
  <c r="I58" i="2"/>
  <c r="H58" i="2"/>
  <c r="G58" i="2"/>
  <c r="F58" i="2"/>
  <c r="F71" i="9"/>
  <c r="F72" i="9"/>
  <c r="F73" i="9"/>
  <c r="F74" i="9"/>
  <c r="F70" i="9"/>
  <c r="F61" i="9"/>
  <c r="F62" i="9"/>
  <c r="F63" i="9"/>
  <c r="F64" i="9"/>
  <c r="F60" i="9"/>
  <c r="F69" i="9"/>
  <c r="F75" i="9"/>
  <c r="F59" i="9"/>
  <c r="F65" i="9"/>
  <c r="F58" i="9"/>
  <c r="F68" i="9"/>
  <c r="F67" i="9"/>
  <c r="F57" i="9"/>
  <c r="F49" i="11"/>
  <c r="F51" i="11" s="1"/>
  <c r="E35" i="11"/>
  <c r="D35" i="11"/>
  <c r="F14" i="11"/>
  <c r="F16" i="11" s="1"/>
  <c r="F55" i="10"/>
  <c r="F51" i="10"/>
  <c r="H151" i="9"/>
  <c r="G151" i="9"/>
  <c r="F151" i="9"/>
  <c r="C151" i="9"/>
  <c r="F108" i="3"/>
  <c r="F106" i="3"/>
  <c r="F105" i="3"/>
  <c r="F104" i="3"/>
  <c r="F22" i="3" s="1"/>
  <c r="F103" i="3"/>
  <c r="F102" i="3"/>
  <c r="F101" i="3"/>
  <c r="F100" i="3"/>
  <c r="F65" i="3"/>
  <c r="F64" i="3"/>
  <c r="F63" i="3"/>
  <c r="F62" i="3"/>
  <c r="F54" i="3"/>
  <c r="G86" i="2"/>
  <c r="F86" i="2"/>
  <c r="G84" i="2"/>
  <c r="G81" i="2"/>
  <c r="F81" i="2"/>
  <c r="G80" i="2"/>
  <c r="G78" i="2"/>
  <c r="F78" i="2"/>
  <c r="G77" i="2"/>
  <c r="F77" i="2"/>
  <c r="G73" i="2"/>
  <c r="F73" i="2"/>
  <c r="G71" i="2"/>
  <c r="F71" i="2"/>
  <c r="G70" i="2"/>
  <c r="G65" i="2"/>
  <c r="F65" i="2"/>
  <c r="G64" i="2"/>
  <c r="F64"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3" i="2"/>
  <c r="F23" i="2" s="1"/>
  <c r="F70" i="2" s="1"/>
  <c r="F41" i="3"/>
  <c r="F81" i="3"/>
  <c r="F38" i="11"/>
  <c r="F19" i="2"/>
  <c r="F40"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<sst xmlns="http://schemas.openxmlformats.org/spreadsheetml/2006/main" count="6670" uniqueCount="1209">
  <si>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</si>
  <si>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</si>
  <si>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</si>
  <si>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</si>
  <si>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</si>
  <si>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</si>
  <si>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</si>
  <si>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</si>
  <si>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</si>
  <si>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</si>
  <si>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</si>
  <si>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</si>
  <si>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</si>
  <si>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</si>
  <si>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</si>
  <si>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</si>
  <si>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</si>
  <si>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</si>
  <si>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</si>
  <si>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</si>
  <si>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</si>
  <si>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</si>
  <si>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</si>
  <si>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</si>
  <si>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</si>
  <si>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</si>
  <si>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</si>
  <si>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</si>
  <si>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</si>
  <si>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</si>
  <si>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</si>
  <si>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</si>
  <si>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</si>
  <si>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</si>
  <si>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</si>
  <si>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</si>
  <si>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</si>
  <si>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</si>
  <si>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</si>
  <si>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</si>
  <si>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</si>
  <si>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</si>
  <si>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</si>
  <si>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</si>
  <si>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</si>
  <si>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</si>
  <si>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</si>
  <si>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</si>
  <si>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</si>
  <si>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</si>
  <si>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</si>
  <si>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</si>
  <si>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</si>
  <si>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</si>
  <si>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</si>
  <si>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</si>
  <si>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</si>
  <si>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</si>
  <si>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</si>
  <si>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</si>
  <si>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</si>
  <si>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</si>
  <si>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</si>
  <si>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</si>
  <si>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</si>
  <si>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</si>
  <si>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</si>
  <si>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</si>
  <si>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</si>
  <si>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</si>
  <si>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</si>
  <si>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</si>
  <si>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</si>
  <si>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</si>
  <si>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</si>
  <si>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</si>
  <si>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</si>
  <si>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</si>
  <si>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</si>
  <si>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</si>
  <si>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</si>
  <si>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</si>
  <si>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</si>
  <si>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</si>
  <si>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</si>
  <si>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</si>
  <si>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</si>
  <si>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</si>
  <si>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</si>
  <si>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</si>
  <si>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</si>
  <si>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</si>
  <si>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</si>
  <si>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</si>
  <si>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</si>
  <si>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</si>
  <si>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</si>
  <si>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</si>
  <si>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</si>
  <si>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</si>
  <si>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</si>
  <si>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</si>
  <si>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ShuntFraction</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</si>
  <si>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</si>
  <si>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</si>
  <si>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</si>
  <si>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</si>
  <si>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</si>
  <si>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</si>
  <si>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</si>
  <si>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</si>
  <si>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</si>
  <si>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</si>
  <si>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</si>
  <si>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</si>
  <si>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</si>
  <si>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</si>
  <si>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</si>
  <si>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</si>
  <si>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</si>
  <si>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</si>
  <si>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</si>
  <si>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</si>
  <si>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</si>
  <si>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</si>
  <si>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</si>
  <si>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</si>
  <si>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</si>
  <si>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</si>
  <si>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</si>
  <si>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</si>
  <si>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</si>
  <si>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</si>
  <si>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</si>
  <si>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</si>
  <si>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</si>
  <si>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</si>
  <si>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</si>
  <si>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</si>
  <si>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</si>
  <si>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</si>
  <si>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</si>
  <si>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</si>
  <si>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</si>
  <si>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</si>
  <si>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</si>
  <si>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</si>
  <si>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</si>
  <si>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</si>
  <si>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</si>
  <si>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</si>
  <si>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</si>
  <si>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</si>
  <si>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</si>
  <si>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</si>
  <si>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</si>
  <si>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</si>
  <si>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</si>
  <si>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</si>
  <si>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</si>
  <si>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</si>
  <si>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</si>
  <si>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</si>
  <si>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</si>
  <si>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</si>
  <si>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</si>
  <si>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</si>
  <si>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</si>
  <si>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</si>
  <si>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</si>
  <si>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</si>
  <si>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</si>
  <si>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</si>
  <si>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</si>
  <si>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</si>
  <si>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</si>
  <si>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</si>
  <si>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</si>
  <si>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</si>
  <si>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</si>
  <si>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</si>
  <si>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</si>
  <si>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</si>
  <si>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</si>
  <si>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</si>
  <si>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</si>
  <si>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</si>
  <si>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</si>
  <si>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</si>
  <si>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</si>
  <si>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</si>
  <si>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</si>
  <si>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</si>
  <si>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</si>
  <si>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</si>
  <si>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</si>
  <si>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</si>
  <si>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</si>
  <si>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</si>
  <si>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</si>
  <si>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</si>
  <si>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</si>
  <si>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</si>
  <si>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</si>
  <si>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</si>
  <si>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</si>
  <si>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</si>
  <si>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</si>
  <si>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</si>
  <si>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</si>
  <si>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</si>
  <si>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</si>
  <si>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</si>
  <si>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</si>
  <si>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</si>
  <si>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Bicarbonate</t>
  </si>
  <si>
    <t>[22,26]</t>
  </si>
  <si>
    <t>Equal to System Property / Molar Mass * Valence</t>
  </si>
  <si>
    <t>PartialPressureOfOxygen</t>
  </si>
  <si>
    <t>PartialPressureOfCarbonDioxide</t>
  </si>
  <si>
    <t>Complete Blood Count</t>
  </si>
  <si>
    <t>CompleteBloodCount</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</si>
  <si>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</si>
  <si>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</si>
  <si>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</si>
  <si>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</si>
  <si>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</si>
  <si>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</si>
  <si>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</si>
  <si>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</si>
  <si>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</si>
  <si>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</si>
  <si>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</si>
  <si>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</si>
  <si>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</si>
  <si>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</si>
  <si>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</si>
  <si>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</si>
  <si>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</si>
  <si>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</si>
  <si>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</si>
  <si>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</si>
  <si>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</si>
  <si>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</si>
  <si>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</si>
  <si>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</si>
  <si>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</si>
  <si>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</si>
  <si>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</si>
  <si>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</si>
  <si>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</si>
  <si>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</si>
  <si>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</si>
  <si>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</si>
  <si>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</si>
  <si>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</si>
  <si>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</si>
  <si>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</si>
  <si>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</si>
  <si>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</si>
  <si>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</si>
  <si>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</si>
  <si>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</si>
  <si>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</si>
  <si>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</si>
  <si>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</si>
  <si>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</si>
  <si>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</si>
  <si>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</si>
  <si>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</si>
  <si>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</si>
  <si>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</si>
  <si>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</si>
  <si>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</si>
  <si>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</si>
  <si>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</si>
  <si>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</si>
  <si>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</si>
  <si>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</si>
  <si>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</si>
  <si>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</si>
  <si>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</si>
  <si>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</si>
  <si>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</si>
  <si>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</si>
  <si>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</si>
  <si>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</si>
  <si>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</si>
  <si>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</si>
  <si>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</si>
  <si>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</si>
  <si>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</si>
  <si>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</si>
  <si>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</si>
  <si>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</si>
  <si>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</si>
  <si>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</si>
  <si>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</si>
  <si>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</si>
  <si>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</si>
  <si>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</si>
  <si>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</si>
  <si>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</si>
  <si>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</si>
  <si>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</si>
  <si>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</si>
  <si>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</si>
  <si>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</si>
  <si>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</si>
  <si>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</si>
  <si>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</si>
  <si>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</si>
  <si>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</si>
  <si>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</si>
  <si>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</si>
  <si>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</si>
  <si>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</si>
  <si>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</si>
  <si>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</si>
  <si>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</si>
  <si>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</si>
  <si>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</si>
  <si>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</si>
  <si>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</si>
  <si>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</si>
  <si>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</si>
  <si>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</si>
  <si>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</si>
  <si>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</si>
  <si>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</si>
  <si>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</si>
  <si>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</si>
  <si>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</si>
  <si>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</si>
  <si>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</si>
  <si>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</si>
  <si>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</si>
  <si>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</si>
  <si>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</si>
  <si>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</si>
  <si>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</si>
  <si>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</si>
  <si>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</si>
  <si>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</si>
  <si>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</si>
  <si>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</si>
  <si>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</si>
  <si>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</si>
  <si>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</si>
  <si>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</si>
  <si>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</si>
  <si>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</si>
  <si>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</si>
  <si>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</si>
  <si>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</si>
  <si>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</si>
  <si>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</si>
  <si>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</si>
  <si>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</si>
  <si>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</si>
  <si>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</si>
  <si>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</si>
  <si>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</si>
  <si>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</si>
  <si>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</si>
  <si>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</si>
  <si>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</si>
  <si>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</si>
  <si>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</si>
  <si>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</si>
  <si>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</si>
  <si>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</si>
  <si>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</si>
  <si>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</si>
  <si>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</si>
  <si>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</si>
  <si>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</si>
  <si>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</si>
  <si>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</si>
  <si>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</si>
  <si>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</si>
  <si>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</si>
  <si>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</si>
  <si>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</si>
  <si>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</si>
  <si>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</si>
  <si>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</si>
  <si>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</si>
  <si>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</si>
  <si>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</si>
  <si>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</si>
  <si>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</si>
  <si>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</si>
  <si>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</si>
  <si>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</si>
  <si>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</si>
  <si>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</si>
  <si>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</si>
  <si>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</si>
  <si>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</si>
  <si>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</si>
  <si>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</si>
  <si>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</si>
  <si>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</si>
  <si>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</si>
  <si>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</si>
  <si>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</si>
  <si>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</si>
  <si>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</si>
  <si>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</si>
  <si>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</si>
  <si>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</si>
  <si>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</si>
  <si>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</si>
  <si>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</si>
  <si>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</si>
  <si>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</si>
  <si>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</si>
  <si>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</si>
  <si>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</si>
  <si>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</si>
  <si>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</si>
  <si>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</si>
  <si>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</si>
  <si>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</si>
  <si>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</si>
  <si>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</si>
  <si>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</si>
  <si>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</si>
  <si>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</si>
  <si>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</si>
  <si>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</si>
  <si>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</si>
  <si>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</si>
  <si>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</si>
  <si>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</si>
  <si>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</si>
  <si>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</si>
  <si>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</si>
  <si>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</si>
  <si>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</si>
  <si>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</si>
  <si>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</si>
  <si>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</si>
  <si>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</si>
  <si>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</si>
  <si>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</si>
  <si>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</si>
  <si>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</si>
  <si>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</si>
  <si>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</si>
  <si>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</si>
  <si>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</si>
  <si>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</si>
  <si>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</si>
  <si>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</si>
  <si>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</si>
  <si>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</si>
  <si>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</si>
  <si>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</si>
  <si>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</si>
  <si>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</si>
  <si>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</si>
  <si>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</si>
  <si>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</si>
  <si>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</si>
  <si>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</si>
  <si>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</si>
  <si>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</si>
  <si>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</si>
  <si>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</si>
  <si>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</si>
  <si>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</si>
  <si>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</si>
  <si>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</si>
  <si>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</si>
  <si>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</si>
  <si>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</si>
  <si>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</si>
  <si>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</si>
  <si>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</si>
  <si>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</si>
  <si>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</si>
  <si>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</si>
  <si>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</si>
  <si>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</si>
  <si>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</si>
  <si>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</si>
  <si>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</si>
  <si>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</si>
  <si>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</si>
  <si>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</si>
  <si>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</si>
  <si>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</si>
  <si>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</si>
  <si>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</si>
  <si>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</si>
  <si>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</si>
  <si>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</si>
  <si>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</si>
  <si>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</si>
  <si>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</si>
  <si>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</si>
  <si>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</si>
  <si>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</si>
  <si>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</si>
  <si>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</si>
  <si>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</si>
  <si>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</si>
  <si>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</si>
  <si>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</si>
  <si>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</si>
  <si>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</si>
  <si>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</si>
  <si>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</si>
  <si>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</si>
  <si>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</si>
  <si>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</si>
  <si>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</si>
  <si>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</si>
  <si>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</si>
  <si>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</si>
  <si>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</si>
  <si>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</si>
  <si>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</si>
  <si>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</si>
  <si>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</si>
  <si>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</si>
  <si>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</si>
  <si>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</si>
  <si>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</si>
  <si>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</si>
  <si>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</si>
  <si>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</si>
  <si>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</si>
  <si>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</si>
  <si>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</si>
  <si>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</si>
  <si>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</si>
  <si>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</si>
  <si>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</si>
  <si>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</si>
  <si>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</si>
  <si>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</si>
  <si>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</si>
  <si>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</si>
  <si>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</si>
  <si>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</si>
  <si>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</si>
  <si>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</si>
  <si>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</si>
  <si>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</si>
  <si>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</si>
  <si>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</si>
  <si>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</si>
  <si>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</si>
  <si>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</si>
  <si>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</si>
  <si>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</si>
  <si>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</si>
  <si>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</si>
  <si>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</si>
  <si>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</si>
  <si>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</si>
  <si>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</si>
  <si>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</si>
  <si>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</si>
  <si>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</si>
  <si>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</si>
  <si>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</si>
  <si>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</si>
  <si>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</si>
  <si>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</si>
  <si>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</si>
  <si>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</si>
  <si>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</si>
  <si>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</si>
  <si>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</si>
  <si>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</si>
  <si>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</si>
  <si>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</si>
  <si>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</si>
  <si>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</si>
  <si>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</si>
  <si>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</si>
  <si>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</si>
  <si>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</si>
  <si>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</si>
  <si>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</si>
  <si>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</si>
  <si>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</si>
  <si>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</si>
  <si>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</si>
  <si>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</si>
  <si>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</si>
  <si>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</si>
  <si>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</si>
  <si>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</si>
  <si>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</si>
  <si>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</si>
  <si>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</si>
  <si>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</si>
  <si>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</si>
  <si>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</si>
  <si>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</si>
  <si>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</si>
  <si>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</si>
  <si>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</si>
  <si>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</si>
  <si>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</si>
  <si>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</si>
  <si>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</si>
  <si>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</si>
  <si>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</si>
  <si>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</si>
  <si>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</si>
  <si>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</si>
  <si>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</si>
  <si>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</si>
  <si>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</si>
  <si>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</si>
  <si>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</si>
  <si>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</si>
  <si>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</si>
  <si>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</si>
  <si>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</si>
  <si>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</si>
  <si>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</si>
  <si>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</si>
  <si>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</si>
  <si>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</si>
  <si>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</si>
  <si>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</si>
  <si>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</si>
  <si>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</si>
  <si>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</si>
  <si>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</si>
  <si>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</si>
  <si>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</si>
  <si>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</si>
  <si>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</si>
  <si>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</si>
  <si>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</si>
  <si>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</si>
  <si>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</si>
  <si>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</si>
  <si>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</si>
  <si>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</si>
  <si>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</si>
  <si>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</si>
  <si>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</si>
  <si>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</si>
  <si>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</si>
  <si>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</si>
  <si>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</si>
  <si>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</si>
  <si>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</si>
  <si>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</si>
  <si>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</si>
  <si>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</si>
  <si>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</si>
  <si>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</si>
  <si>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</si>
  <si>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</si>
  <si>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</si>
  <si>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</si>
  <si>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</si>
  <si>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</si>
  <si>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</si>
  <si>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</si>
  <si>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</si>
  <si>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</si>
  <si>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</si>
  <si>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</si>
  <si>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</si>
  <si>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</si>
  <si>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</si>
  <si>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</si>
  <si>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</si>
  <si>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</si>
  <si>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</si>
  <si>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</si>
  <si>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</si>
  <si>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</si>
  <si>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</si>
  <si>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</si>
  <si>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</si>
  <si>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</si>
  <si>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</si>
  <si>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</si>
  <si>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</si>
  <si>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</si>
  <si>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</si>
  <si>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</si>
  <si>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</si>
  <si>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</si>
  <si>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</si>
  <si>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</si>
  <si>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</si>
  <si>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</si>
  <si>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</si>
  <si>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</si>
  <si>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</si>
  <si>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</si>
  <si>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</si>
  <si>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</si>
  <si>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</si>
  <si>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</si>
  <si>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</si>
  <si>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</si>
  <si>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</si>
  <si>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</si>
  <si>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</si>
  <si>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</si>
  <si>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</si>
  <si>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</si>
  <si>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</si>
  <si>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</si>
  <si>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</si>
  <si>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</si>
  <si>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</si>
  <si>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</si>
  <si>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</si>
  <si>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</si>
  <si>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</si>
  <si>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</si>
  <si>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</si>
  <si>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</si>
  <si>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</si>
  <si>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</si>
  <si>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</si>
  <si>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</si>
  <si>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</si>
  <si>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</si>
  <si>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</si>
  <si>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</si>
  <si>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</si>
  <si>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</si>
  <si>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</si>
  <si>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</si>
  <si>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</si>
  <si>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</si>
  <si>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</si>
  <si>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</si>
  <si>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</si>
  <si>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</si>
  <si>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</si>
  <si>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</si>
  <si>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</si>
  <si>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</si>
  <si>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</si>
  <si>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</si>
  <si>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</si>
  <si>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</si>
  <si>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</si>
  <si>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</si>
  <si>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</si>
  <si>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</si>
  <si>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</si>
  <si>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</si>
  <si>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</si>
  <si>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</si>
  <si>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</si>
  <si>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</si>
  <si>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</si>
  <si>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</si>
  <si>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</si>
  <si>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</si>
  <si>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</si>
  <si>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</si>
  <si>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</si>
  <si>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</si>
  <si>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</si>
  <si>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</si>
  <si>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</si>
  <si>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</si>
  <si>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</si>
  <si>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</si>
  <si>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</si>
  <si>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</si>
  <si>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</si>
  <si>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</si>
  <si>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</si>
  <si>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</si>
  <si>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</si>
  <si>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</si>
  <si>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</si>
  <si>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</si>
  <si>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</si>
  <si>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</si>
  <si>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</si>
  <si>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</si>
  <si>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</si>
  <si>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</si>
  <si>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</si>
  <si>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</si>
  <si>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</si>
  <si>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</si>
  <si>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</si>
  <si>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</si>
  <si>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</si>
  <si>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</si>
  <si>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</si>
  <si>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</si>
  <si>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</si>
  <si>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</si>
  <si>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</si>
  <si>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</si>
  <si>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</si>
  <si>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</si>
  <si>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</si>
  <si>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</si>
  <si>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</si>
  <si>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</si>
  <si>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</si>
  <si>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</si>
  <si>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</si>
  <si>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</si>
  <si>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</si>
  <si>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Yellow</t>
  </si>
  <si>
    <t>N/A</t>
  </si>
  <si>
    <t>Color is a gradient based on Urine Osmolality</t>
  </si>
  <si>
    <t>Appearance*</t>
  </si>
  <si>
    <t>Negative</t>
  </si>
  <si>
    <t>walker1990clinical</t>
  </si>
  <si>
    <t>Ketone</t>
  </si>
  <si>
    <t>Bilirubin*</t>
  </si>
  <si>
    <t>SpecificGravity</t>
  </si>
  <si>
    <t>Blood</t>
  </si>
  <si>
    <t>pH*</t>
  </si>
  <si>
    <t>Protein</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</si>
  <si>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</si>
  <si>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</si>
  <si>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</si>
  <si>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</si>
  <si>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</si>
  <si>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</si>
  <si>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</si>
  <si>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</si>
  <si>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</si>
  <si>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</si>
  <si>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</si>
  <si>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</si>
  <si>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</si>
  <si>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</si>
  <si>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</si>
  <si>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</si>
  <si>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</si>
  <si>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</si>
  <si>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</si>
  <si>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</si>
  <si>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</si>
  <si>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</si>
  <si>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</si>
  <si>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</si>
  <si>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</si>
  <si>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</si>
  <si>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</si>
  <si>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</si>
  <si>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</si>
  <si>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</si>
  <si>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</si>
  <si>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</si>
  <si>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</si>
  <si>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</si>
  <si>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</si>
  <si>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</si>
  <si>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</si>
  <si>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</si>
  <si>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</si>
  <si>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</si>
  <si>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</si>
  <si>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</si>
  <si>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</si>
  <si>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</si>
  <si>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</si>
  <si>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</si>
  <si>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</si>
  <si>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</si>
  <si>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</si>
  <si>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</si>
  <si>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</si>
  <si>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</si>
  <si>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</si>
  <si>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</si>
  <si>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</si>
  <si>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</si>
  <si>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</si>
  <si>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</si>
  <si>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</si>
  <si>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</si>
  <si>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</si>
  <si>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</si>
  <si>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</si>
  <si>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</si>
  <si>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</si>
  <si>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</si>
  <si>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</si>
  <si>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</si>
  <si>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</si>
  <si>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</si>
  <si>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</si>
  <si>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</si>
  <si>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</si>
  <si>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</si>
  <si>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</si>
  <si>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</si>
  <si>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</si>
  <si>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</si>
  <si>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</si>
  <si>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</si>
  <si>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</si>
  <si>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</si>
  <si>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</si>
  <si>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</si>
  <si>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</si>
  <si>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</si>
  <si>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</si>
  <si>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</si>
  <si>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</si>
  <si>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</si>
  <si>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</si>
  <si>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</si>
  <si>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</si>
  <si>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</si>
  <si>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</si>
  <si>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</si>
  <si>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</si>
  <si>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</si>
  <si>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</si>
  <si>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</si>
  <si>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</si>
  <si>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</si>
  <si>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</si>
  <si>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</si>
  <si>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</si>
  <si>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</si>
  <si>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</si>
  <si>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</si>
  <si>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</si>
  <si>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</si>
  <si>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</si>
  <si>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</si>
  <si>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</si>
  <si>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</si>
  <si>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</si>
  <si>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</si>
  <si>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</si>
  <si>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</si>
  <si>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</si>
  <si>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</si>
  <si>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</si>
  <si>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</si>
  <si>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</si>
  <si>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</si>
  <si>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</si>
  <si>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</si>
  <si>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</si>
  <si>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</si>
  <si>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</si>
  <si>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</si>
  <si>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</si>
  <si>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</si>
  <si>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</si>
  <si>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</si>
  <si>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</si>
  <si>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</si>
  <si>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</si>
  <si>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</si>
  <si>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</si>
  <si>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</si>
  <si>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</si>
  <si>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</si>
  <si>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</si>
  <si>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</si>
  <si>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</si>
  <si>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</si>
  <si>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</si>
  <si>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</si>
  <si>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</si>
  <si>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</si>
  <si>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</si>
  <si>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</si>
  <si>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</si>
  <si>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</si>
  <si>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</si>
  <si>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</si>
  <si>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</si>
  <si>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</si>
  <si>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</si>
  <si>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</si>
  <si>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</si>
  <si>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</si>
  <si>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</si>
  <si>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</si>
  <si>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</si>
  <si>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</si>
  <si>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</si>
  <si>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</si>
  <si>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</si>
  <si>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</si>
  <si>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</si>
  <si>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</si>
  <si>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</si>
  <si>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</si>
  <si>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</si>
  <si>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</si>
  <si>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</si>
  <si>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</si>
  <si>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</si>
  <si>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</si>
  <si>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</si>
  <si>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</si>
  <si>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</si>
  <si>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</si>
  <si>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</si>
  <si>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</si>
  <si>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</si>
  <si>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</si>
  <si>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</si>
  <si>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</si>
  <si>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</si>
  <si>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</si>
  <si>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</si>
  <si>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</si>
  <si>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</si>
  <si>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</si>
  <si>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</si>
  <si>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</si>
  <si>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</si>
  <si>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</si>
  <si>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</si>
  <si>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</si>
  <si>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</si>
  <si>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</si>
  <si>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</si>
  <si>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</si>
  <si>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</si>
  <si>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</si>
  <si>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</si>
  <si>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</si>
  <si>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</si>
  <si>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</si>
  <si>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</si>
  <si>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</si>
  <si>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</si>
  <si>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</si>
  <si>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</si>
  <si>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</si>
  <si>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</si>
  <si>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</si>
  <si>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</si>
  <si>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</si>
  <si>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</si>
  <si>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</si>
  <si>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</si>
  <si>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</si>
  <si>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</si>
  <si>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</si>
  <si>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</si>
  <si>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</si>
  <si>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</si>
  <si>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</si>
  <si>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</si>
  <si>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</si>
  <si>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</si>
  <si>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</si>
  <si>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</si>
  <si>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</si>
  <si>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</si>
  <si>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</si>
  <si>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</si>
  <si>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</si>
  <si>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</si>
  <si>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</si>
  <si>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</si>
  <si>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</si>
  <si>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</si>
  <si>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</si>
  <si>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</si>
  <si>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</si>
  <si>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</si>
  <si>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</si>
  <si>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</si>
  <si>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</si>
  <si>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</si>
  <si>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</si>
  <si>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</si>
  <si>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</si>
  <si>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</si>
  <si>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</si>
  <si>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</si>
  <si>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</si>
  <si>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</si>
  <si>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</si>
  <si>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</si>
  <si>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</si>
  <si>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</si>
  <si>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</si>
  <si>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</si>
  <si>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</si>
  <si>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</si>
  <si>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</si>
  <si>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</si>
  <si>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</si>
  <si>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</si>
  <si>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</si>
  <si>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</si>
  <si>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</si>
  <si>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</si>
  <si>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</si>
  <si>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</si>
  <si>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</si>
  <si>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</si>
  <si>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</si>
  <si>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</si>
  <si>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</si>
  <si>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</si>
  <si>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</si>
  <si>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</si>
  <si>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</si>
  <si>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</si>
  <si>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</si>
  <si>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</si>
  <si>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</si>
  <si>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</si>
  <si>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</si>
  <si>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</si>
  <si>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</si>
  <si>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</si>
  <si>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</si>
  <si>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</si>
  <si>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</si>
  <si>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</si>
  <si>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</si>
  <si>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</si>
  <si>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</si>
  <si>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</si>
  <si>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</si>
  <si>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</si>
  <si>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</si>
  <si>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</si>
  <si>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</si>
  <si>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</si>
  <si>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</si>
  <si>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</si>
  <si>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</si>
  <si>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</si>
  <si>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</si>
  <si>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</si>
  <si>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</si>
  <si>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</si>
  <si>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</si>
  <si>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</si>
  <si>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</si>
  <si>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</si>
  <si>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</si>
  <si>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</si>
  <si>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</si>
  <si>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</si>
  <si>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</si>
  <si>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</si>
  <si>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</si>
  <si>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</si>
  <si>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</si>
  <si>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</si>
  <si>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</si>
  <si>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</si>
  <si>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</si>
  <si>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</si>
  <si>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</si>
  <si>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</si>
  <si>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</si>
  <si>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</si>
  <si>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</si>
  <si>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</si>
  <si>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</si>
  <si>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</si>
  <si>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</si>
  <si>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</si>
  <si>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</si>
  <si>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</si>
  <si>
    <t>[6.0,7.4]</t>
  </si>
  <si>
    <t>guyton2006medical, rodgers2005physiologically</t>
  </si>
  <si>
    <t>Enumeration</t>
  </si>
  <si>
    <t>ABG@120s</t>
  </si>
  <si>
    <t>CBC@120s</t>
  </si>
  <si>
    <t>CMP@120s</t>
  </si>
  <si>
    <t>Urinalysis@120s</t>
  </si>
  <si>
    <t>Any changes should be done to system row above</t>
  </si>
  <si>
    <t xml:space="preserve">Determined by glucose concentration &gt; 100mg/dL </t>
  </si>
  <si>
    <t>Determined by glucose concentration &gt; 5 mg/dL</t>
  </si>
  <si>
    <t>Determined by trace amount of Hb</t>
  </si>
  <si>
    <t>Determined by albumin concentration &gt; 0.2 mg/mL</t>
  </si>
  <si>
    <t>Thresholds</t>
  </si>
  <si>
    <t>ArterialOxygenContent</t>
  </si>
  <si>
    <t>ArteriovenousOxygenDifference</t>
  </si>
  <si>
    <t>MixedVenousOxygenContent</t>
  </si>
  <si>
    <t>OxygenDelivery</t>
  </si>
  <si>
    <t>OxygenDeliveryToOxygenConsumptionRatio</t>
  </si>
  <si>
    <t>Between 4:1 and 5:1</t>
  </si>
  <si>
    <t>[900,1100]</t>
  </si>
  <si>
    <t>18-20 mL O2/dL blood = 18-20%</t>
  </si>
  <si>
    <t>4-5 mL O2/dL blood = 4-5%</t>
  </si>
  <si>
    <t>13-15 mL O2/dL blood = 13-15%</t>
  </si>
  <si>
    <t>[0.18,0.20]</t>
  </si>
  <si>
    <t>[0.13,0.15]</t>
  </si>
  <si>
    <t>ClinicalOxygenConsumption</t>
  </si>
  <si>
    <t>[0.04,0.05]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</si>
</sst>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ABG@120s" TargetMode="External"/><Relationship Id="rId13" Type="http://schemas.openxmlformats.org/officeDocument/2006/relationships/hyperlink" Target="mailto:CMP@120s" TargetMode="External"/><Relationship Id="rId3" Type="http://schemas.openxmlformats.org/officeDocument/2006/relationships/hyperlink" Target="http://acutecaretesting.org/en/articles/urea-and-the-clinical-value-of-measuring-blood-urea-concentration" TargetMode="External"/><Relationship Id="rId7" Type="http://schemas.openxmlformats.org/officeDocument/2006/relationships/hyperlink" Target="mailto:ABG@120s" TargetMode="External"/><Relationship Id="rId12" Type="http://schemas.openxmlformats.org/officeDocument/2006/relationships/hyperlink" Target="mailto:CMP@120s"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6" Type="http://schemas.openxmlformats.org/officeDocument/2006/relationships/hyperlink" Target="mailto:ABG@120s" TargetMode="External"/><Relationship Id="rId11" Type="http://schemas.openxmlformats.org/officeDocument/2006/relationships/hyperlink" Target="mailto:CBC@120s" TargetMode="External"/><Relationship Id="rId5" Type="http://schemas.openxmlformats.org/officeDocument/2006/relationships/hyperlink" Target="mailto:ABG@120s" TargetMode="External"/><Relationship Id="rId10" Type="http://schemas.openxmlformats.org/officeDocument/2006/relationships/hyperlink" Target="mailto:CBC@120s" TargetMode="External"/><Relationship Id="rId4" Type="http://schemas.openxmlformats.org/officeDocument/2006/relationships/hyperlink" Target="https://en.wikipedia.org/wiki/Mean_corpuscular_hemoglobin" TargetMode="External"/><Relationship Id="rId9" Type="http://schemas.openxmlformats.org/officeDocument/2006/relationships/hyperlink" Target="mailto:ABG@120s"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mailto:Urinalysis@120s" TargetMode="External"/><Relationship Id="rId1" Type="http://schemas.openxmlformats.org/officeDocument/2006/relationships/hyperlink" Target="mailto:Urinalysis@120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7"/>
  <sheetViews>
    <sheetView tabSelected="1" zoomScaleNormal="100" workbookViewId="0">
      <pane xSplit="1" topLeftCell="B1" activePane="topRight" state="frozen"/>
      <selection pane="topRight" activeCell="F3" sqref="F3"/>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6" width="9.140625" style="1"/>
    <col min="17" max="17" width="15" style="1" customWidth="1"/>
    <col min="18" max="1022" width="9.140625" style="1"/>
  </cols>
  <sheetData>
    <row r="1" spans="1:17"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1195</v>
      </c>
      <c r="B2" s="8"/>
      <c r="C2" s="8" t="s">
        <v>46</v>
      </c>
      <c r="D2" s="8"/>
      <c r="E2" s="8"/>
      <c r="F2" s="2" t="s">
        <v>1205</v>
      </c>
      <c r="G2" s="11" t="s">
        <v>15</v>
      </c>
      <c r="H2" s="8"/>
      <c r="I2" s="8" t="s">
        <v>49</v>
      </c>
      <c r="J2" s="8" t="s">
        <v>1202</v>
      </c>
      <c r="K2" s="12"/>
      <c r="L2" s="13"/>
      <c r="M2" s="5" t="s">
        <v>50</v>
      </c>
      <c r="N2" s="5" t="s">
        <v>51</v>
      </c>
      <c r="O2" s="14" t="s">
        <v>52</v>
      </c>
      <c r="P2" s="14">
        <v>2</v>
      </c>
      <c r="Q2" s="14"/>
    </row>
    <row r="3" spans="1:17">
      <c r="A3" s="10" t="s">
        <v>1196</v>
      </c>
      <c r="B3" s="8"/>
      <c r="C3" s="8" t="s">
        <v>46</v>
      </c>
      <c r="D3" s="8"/>
      <c r="E3" s="8"/>
      <c r="F3" s="8" t="s">
        <v>1208</v>
      </c>
      <c r="G3" s="11" t="s">
        <v>15</v>
      </c>
      <c r="H3" s="8"/>
      <c r="I3" s="8" t="s">
        <v>49</v>
      </c>
      <c r="J3" s="8" t="s">
        <v>1203</v>
      </c>
      <c r="K3" s="12"/>
      <c r="L3" s="13"/>
      <c r="M3" s="5" t="s">
        <v>50</v>
      </c>
      <c r="N3" s="5" t="s">
        <v>51</v>
      </c>
      <c r="O3" s="14" t="s">
        <v>52</v>
      </c>
      <c r="P3" s="14">
        <v>2</v>
      </c>
      <c r="Q3" s="14"/>
    </row>
    <row r="4" spans="1:17">
      <c r="A4" s="10" t="s">
        <v>44</v>
      </c>
      <c r="B4" s="8" t="s">
        <v>45</v>
      </c>
      <c r="C4" s="8" t="s">
        <v>46</v>
      </c>
      <c r="D4" s="8"/>
      <c r="E4" s="8"/>
      <c r="F4" s="8" t="s">
        <v>47</v>
      </c>
      <c r="G4" s="11" t="s">
        <v>48</v>
      </c>
      <c r="H4" s="8"/>
      <c r="I4" s="8" t="s">
        <v>49</v>
      </c>
      <c r="J4" s="8"/>
      <c r="K4" s="12"/>
      <c r="L4" s="13"/>
      <c r="M4" s="5" t="s">
        <v>50</v>
      </c>
      <c r="N4" s="5" t="s">
        <v>51</v>
      </c>
      <c r="O4" s="14" t="s">
        <v>52</v>
      </c>
      <c r="P4" s="14">
        <v>2</v>
      </c>
      <c r="Q4" s="14"/>
    </row>
    <row r="5" spans="1:17">
      <c r="A5" s="10" t="s">
        <v>53</v>
      </c>
      <c r="B5" s="8" t="s">
        <v>54</v>
      </c>
      <c r="C5" s="8" t="s">
        <v>46</v>
      </c>
      <c r="D5" s="8"/>
      <c r="E5" s="8"/>
      <c r="F5" s="8">
        <v>1050</v>
      </c>
      <c r="G5" s="15" t="s">
        <v>55</v>
      </c>
      <c r="H5" s="15" t="s">
        <v>56</v>
      </c>
      <c r="I5" s="8" t="s">
        <v>49</v>
      </c>
      <c r="J5" s="8"/>
      <c r="K5" s="12"/>
      <c r="L5" s="13"/>
      <c r="M5" s="5" t="s">
        <v>50</v>
      </c>
      <c r="N5" s="5" t="s">
        <v>57</v>
      </c>
      <c r="O5" s="14" t="s">
        <v>52</v>
      </c>
      <c r="P5" s="14"/>
      <c r="Q5" s="14"/>
    </row>
    <row r="6" spans="1:17" ht="24">
      <c r="A6" s="10" t="s">
        <v>58</v>
      </c>
      <c r="B6" s="8"/>
      <c r="C6" s="8" t="s">
        <v>46</v>
      </c>
      <c r="D6" s="8"/>
      <c r="E6" s="8"/>
      <c r="F6" s="8" t="s">
        <v>59</v>
      </c>
      <c r="G6" s="8" t="s">
        <v>60</v>
      </c>
      <c r="H6" s="8" t="s">
        <v>61</v>
      </c>
      <c r="I6" s="8" t="s">
        <v>49</v>
      </c>
      <c r="J6" s="8"/>
      <c r="K6" s="16"/>
      <c r="L6" s="4"/>
      <c r="M6" s="5" t="s">
        <v>50</v>
      </c>
      <c r="N6" s="5" t="s">
        <v>51</v>
      </c>
      <c r="O6" s="14" t="s">
        <v>52</v>
      </c>
      <c r="P6" s="14">
        <v>2</v>
      </c>
      <c r="Q6" s="14"/>
    </row>
    <row r="7" spans="1:17">
      <c r="A7" s="10" t="s">
        <v>62</v>
      </c>
      <c r="B7" s="8" t="s">
        <v>63</v>
      </c>
      <c r="C7" s="8" t="s">
        <v>46</v>
      </c>
      <c r="D7" s="8"/>
      <c r="E7" s="8"/>
      <c r="F7" s="8">
        <v>3617</v>
      </c>
      <c r="G7" s="8" t="s">
        <v>64</v>
      </c>
      <c r="H7" s="8"/>
      <c r="I7" s="8" t="s">
        <v>49</v>
      </c>
      <c r="J7" s="8"/>
      <c r="K7" s="12"/>
      <c r="L7" s="13"/>
      <c r="M7" s="5" t="s">
        <v>50</v>
      </c>
      <c r="N7" s="5" t="s">
        <v>57</v>
      </c>
      <c r="O7" s="14" t="s">
        <v>52</v>
      </c>
      <c r="P7" s="14"/>
      <c r="Q7" s="14"/>
    </row>
    <row r="8" spans="1:17" ht="24">
      <c r="A8" s="10" t="s">
        <v>65</v>
      </c>
      <c r="B8" s="17" t="s">
        <v>66</v>
      </c>
      <c r="C8" s="8" t="s">
        <v>46</v>
      </c>
      <c r="D8" s="8"/>
      <c r="E8" s="8"/>
      <c r="F8" s="8" t="s">
        <v>67</v>
      </c>
      <c r="G8" s="18" t="s">
        <v>68</v>
      </c>
      <c r="H8" s="8" t="s">
        <v>69</v>
      </c>
      <c r="I8" s="8" t="s">
        <v>49</v>
      </c>
      <c r="J8" s="8"/>
      <c r="K8" s="19" t="s">
        <v>70</v>
      </c>
      <c r="L8" s="4"/>
      <c r="M8" s="5" t="s">
        <v>50</v>
      </c>
      <c r="N8" s="5" t="s">
        <v>71</v>
      </c>
      <c r="O8" s="14" t="s">
        <v>52</v>
      </c>
      <c r="P8" s="14">
        <v>1</v>
      </c>
      <c r="Q8" s="14"/>
    </row>
    <row r="9" spans="1:17">
      <c r="A9" s="10" t="s">
        <v>72</v>
      </c>
      <c r="B9" s="8"/>
      <c r="C9" s="8" t="s">
        <v>46</v>
      </c>
      <c r="D9" s="8"/>
      <c r="E9" s="8"/>
      <c r="F9" s="8">
        <v>0.13</v>
      </c>
      <c r="G9" s="8" t="s">
        <v>73</v>
      </c>
      <c r="H9" s="8"/>
      <c r="I9" s="8" t="s">
        <v>49</v>
      </c>
      <c r="J9" s="8"/>
      <c r="K9" s="12"/>
      <c r="L9" s="13"/>
      <c r="M9" s="5" t="s">
        <v>50</v>
      </c>
      <c r="N9" s="5" t="s">
        <v>51</v>
      </c>
      <c r="O9" s="14" t="s">
        <v>52</v>
      </c>
      <c r="P9" s="14">
        <v>2</v>
      </c>
      <c r="Q9" s="14"/>
    </row>
    <row r="10" spans="1:17">
      <c r="A10" s="10" t="s">
        <v>74</v>
      </c>
      <c r="B10" s="8"/>
      <c r="C10" s="8" t="s">
        <v>46</v>
      </c>
      <c r="D10" s="8"/>
      <c r="E10" s="8"/>
      <c r="F10" s="8">
        <v>0</v>
      </c>
      <c r="G10" s="8"/>
      <c r="H10" s="8"/>
      <c r="I10" s="8" t="s">
        <v>49</v>
      </c>
      <c r="J10" s="8" t="s">
        <v>75</v>
      </c>
      <c r="K10" s="12"/>
      <c r="L10" s="13"/>
      <c r="M10" s="5" t="s">
        <v>50</v>
      </c>
      <c r="N10" s="5"/>
      <c r="O10" s="14" t="s">
        <v>52</v>
      </c>
      <c r="P10" s="14">
        <v>2</v>
      </c>
      <c r="Q10" s="14"/>
    </row>
    <row r="11" spans="1:17">
      <c r="A11" s="10" t="s">
        <v>1207</v>
      </c>
      <c r="B11" s="8" t="s">
        <v>14</v>
      </c>
      <c r="C11" s="8" t="s">
        <v>46</v>
      </c>
      <c r="D11" s="8"/>
      <c r="E11" s="8"/>
      <c r="F11" s="8">
        <v>250</v>
      </c>
      <c r="G11" s="11" t="s">
        <v>15</v>
      </c>
      <c r="H11" s="8"/>
      <c r="I11" s="8" t="s">
        <v>49</v>
      </c>
      <c r="J11" s="8"/>
      <c r="K11" s="12"/>
      <c r="L11" s="13"/>
      <c r="M11" s="5" t="s">
        <v>50</v>
      </c>
      <c r="N11" s="5" t="s">
        <v>51</v>
      </c>
      <c r="O11" s="14" t="s">
        <v>52</v>
      </c>
      <c r="P11" s="14">
        <v>2</v>
      </c>
      <c r="Q11" s="14"/>
    </row>
    <row r="12" spans="1:17" ht="24">
      <c r="A12" s="10" t="s">
        <v>76</v>
      </c>
      <c r="B12" s="8"/>
      <c r="C12" s="8" t="s">
        <v>46</v>
      </c>
      <c r="D12" s="8"/>
      <c r="E12" s="8"/>
      <c r="F12" s="8" t="s">
        <v>77</v>
      </c>
      <c r="G12" s="8" t="s">
        <v>78</v>
      </c>
      <c r="H12" s="8" t="s">
        <v>79</v>
      </c>
      <c r="I12" s="8" t="s">
        <v>49</v>
      </c>
      <c r="J12" s="8"/>
      <c r="K12" s="20" t="s">
        <v>80</v>
      </c>
      <c r="L12" s="21"/>
      <c r="M12" s="5" t="s">
        <v>50</v>
      </c>
      <c r="N12" s="5" t="s">
        <v>51</v>
      </c>
      <c r="O12" s="14" t="s">
        <v>52</v>
      </c>
      <c r="P12" s="14">
        <v>3</v>
      </c>
      <c r="Q12" s="14"/>
    </row>
    <row r="13" spans="1:17" s="1" customFormat="1" ht="12">
      <c r="A13" s="10" t="s">
        <v>81</v>
      </c>
      <c r="B13" s="8" t="s">
        <v>82</v>
      </c>
      <c r="C13" s="8" t="s">
        <v>46</v>
      </c>
      <c r="D13" s="8"/>
      <c r="E13" s="8"/>
      <c r="F13" s="22">
        <f>Patient!C7*Patient!C11/100</f>
        <v>826.44819998688286</v>
      </c>
      <c r="G13" s="8" t="s">
        <v>83</v>
      </c>
      <c r="H13" s="12"/>
      <c r="I13" s="8" t="s">
        <v>49</v>
      </c>
      <c r="K13" s="8" t="s">
        <v>84</v>
      </c>
      <c r="L13" s="13"/>
      <c r="M13" s="5" t="s">
        <v>50</v>
      </c>
      <c r="N13" s="5" t="s">
        <v>71</v>
      </c>
      <c r="O13" s="14" t="s">
        <v>52</v>
      </c>
      <c r="P13" s="14">
        <v>1</v>
      </c>
      <c r="Q13" s="14"/>
    </row>
    <row r="14" spans="1:17">
      <c r="A14" s="10" t="s">
        <v>1197</v>
      </c>
      <c r="B14" s="8"/>
      <c r="C14" s="8" t="s">
        <v>46</v>
      </c>
      <c r="D14" s="8"/>
      <c r="E14" s="8"/>
      <c r="F14" s="8" t="s">
        <v>1206</v>
      </c>
      <c r="G14" s="11" t="s">
        <v>15</v>
      </c>
      <c r="H14" s="8"/>
      <c r="I14" s="8" t="s">
        <v>49</v>
      </c>
      <c r="J14" s="8" t="s">
        <v>1204</v>
      </c>
      <c r="K14" s="12"/>
      <c r="L14" s="13"/>
      <c r="M14" s="5" t="s">
        <v>50</v>
      </c>
      <c r="N14" s="5" t="s">
        <v>51</v>
      </c>
      <c r="O14" s="14" t="s">
        <v>52</v>
      </c>
      <c r="P14" s="14">
        <v>2</v>
      </c>
      <c r="Q14" s="14"/>
    </row>
    <row r="15" spans="1:17">
      <c r="A15" s="10" t="s">
        <v>1198</v>
      </c>
      <c r="B15" s="8" t="s">
        <v>14</v>
      </c>
      <c r="C15" s="8" t="s">
        <v>46</v>
      </c>
      <c r="D15" s="8"/>
      <c r="E15" s="8"/>
      <c r="F15" s="8" t="s">
        <v>1201</v>
      </c>
      <c r="G15" s="11" t="s">
        <v>15</v>
      </c>
      <c r="H15" s="8"/>
      <c r="I15" s="8" t="s">
        <v>49</v>
      </c>
      <c r="J15" s="8"/>
      <c r="K15" s="12"/>
      <c r="L15" s="13"/>
      <c r="M15" s="5" t="s">
        <v>50</v>
      </c>
      <c r="N15" s="5" t="s">
        <v>51</v>
      </c>
      <c r="O15" s="14" t="s">
        <v>52</v>
      </c>
      <c r="P15" s="14">
        <v>2</v>
      </c>
      <c r="Q15" s="14"/>
    </row>
    <row r="16" spans="1:17">
      <c r="A16" s="10" t="s">
        <v>1199</v>
      </c>
      <c r="B16" s="8"/>
      <c r="C16" s="8" t="s">
        <v>46</v>
      </c>
      <c r="D16" s="8"/>
      <c r="E16" s="8"/>
      <c r="F16" s="8" t="s">
        <v>134</v>
      </c>
      <c r="G16" s="11" t="s">
        <v>15</v>
      </c>
      <c r="H16" s="8"/>
      <c r="I16" s="8" t="s">
        <v>49</v>
      </c>
      <c r="J16" s="8" t="s">
        <v>1200</v>
      </c>
      <c r="K16" s="12"/>
      <c r="L16" s="13"/>
      <c r="M16" s="5" t="s">
        <v>50</v>
      </c>
      <c r="N16" s="5" t="s">
        <v>51</v>
      </c>
      <c r="O16" s="14" t="s">
        <v>52</v>
      </c>
      <c r="P16" s="14">
        <v>2</v>
      </c>
      <c r="Q16" s="14"/>
    </row>
    <row r="17" spans="1:17" ht="24">
      <c r="A17" s="10" t="s">
        <v>85</v>
      </c>
      <c r="B17" s="8"/>
      <c r="C17" s="8" t="s">
        <v>46</v>
      </c>
      <c r="D17" s="8"/>
      <c r="E17" s="8"/>
      <c r="F17" s="8" t="s">
        <v>86</v>
      </c>
      <c r="G17" s="8" t="s">
        <v>78</v>
      </c>
      <c r="H17" s="8" t="s">
        <v>87</v>
      </c>
      <c r="I17" s="8" t="s">
        <v>49</v>
      </c>
      <c r="J17" s="8"/>
      <c r="K17" s="16"/>
      <c r="L17" s="4"/>
      <c r="M17" s="5" t="s">
        <v>50</v>
      </c>
      <c r="N17" s="5" t="s">
        <v>51</v>
      </c>
      <c r="O17" s="14" t="s">
        <v>52</v>
      </c>
      <c r="P17" s="14">
        <v>2</v>
      </c>
      <c r="Q17" s="14"/>
    </row>
    <row r="18" spans="1:17" ht="27.75" customHeight="1">
      <c r="A18" s="10" t="s">
        <v>88</v>
      </c>
      <c r="B18" s="8" t="s">
        <v>89</v>
      </c>
      <c r="C18" s="8" t="s">
        <v>46</v>
      </c>
      <c r="D18" s="8"/>
      <c r="E18" s="8"/>
      <c r="F18" s="20" t="s">
        <v>90</v>
      </c>
      <c r="G18" s="8" t="s">
        <v>91</v>
      </c>
      <c r="H18" s="8"/>
      <c r="I18" s="8" t="s">
        <v>49</v>
      </c>
      <c r="J18" s="8"/>
      <c r="K18" s="8"/>
      <c r="L18" s="21"/>
      <c r="M18" s="5" t="s">
        <v>50</v>
      </c>
      <c r="N18" s="5" t="s">
        <v>71</v>
      </c>
      <c r="O18" s="14" t="s">
        <v>52</v>
      </c>
      <c r="P18" s="14">
        <v>1</v>
      </c>
      <c r="Q18" s="14"/>
    </row>
    <row r="19" spans="1:17" ht="27.75" customHeight="1">
      <c r="A19" s="10" t="s">
        <v>92</v>
      </c>
      <c r="B19" s="8" t="s">
        <v>17</v>
      </c>
      <c r="C19" s="8" t="s">
        <v>46</v>
      </c>
      <c r="D19" s="8"/>
      <c r="E19" s="8"/>
      <c r="F19" s="23">
        <f>Patient!C7*(1-Patient!C11/34)</f>
        <v>3078.9246666177987</v>
      </c>
      <c r="G19" s="8" t="s">
        <v>15</v>
      </c>
      <c r="H19" s="8" t="s">
        <v>93</v>
      </c>
      <c r="I19" s="8" t="s">
        <v>49</v>
      </c>
      <c r="J19" s="8" t="s">
        <v>94</v>
      </c>
      <c r="K19" s="8" t="s">
        <v>95</v>
      </c>
      <c r="L19" s="21" t="s">
        <v>96</v>
      </c>
      <c r="M19" s="5" t="s">
        <v>50</v>
      </c>
      <c r="N19" s="5" t="s">
        <v>71</v>
      </c>
      <c r="O19" s="14" t="s">
        <v>52</v>
      </c>
      <c r="P19" s="14"/>
      <c r="Q19" s="14"/>
    </row>
    <row r="20" spans="1:17" ht="24">
      <c r="A20" s="10" t="s">
        <v>1169</v>
      </c>
      <c r="B20" s="26" t="s">
        <v>581</v>
      </c>
      <c r="C20" s="8" t="s">
        <v>46</v>
      </c>
      <c r="D20" s="8"/>
      <c r="E20" s="8"/>
      <c r="F20" s="26" t="s">
        <v>1170</v>
      </c>
      <c r="G20" s="8" t="s">
        <v>15</v>
      </c>
      <c r="H20" s="26"/>
      <c r="I20" s="8" t="s">
        <v>49</v>
      </c>
      <c r="J20" s="26"/>
      <c r="K20" s="8"/>
      <c r="L20" s="5"/>
      <c r="M20" s="5" t="s">
        <v>50</v>
      </c>
      <c r="N20" s="5" t="s">
        <v>57</v>
      </c>
      <c r="O20" s="14" t="s">
        <v>52</v>
      </c>
      <c r="P20" s="14">
        <v>1</v>
      </c>
      <c r="Q20" s="14"/>
    </row>
    <row r="21" spans="1:17">
      <c r="A21" s="48" t="s">
        <v>1171</v>
      </c>
      <c r="B21" s="26"/>
      <c r="C21" s="8"/>
      <c r="D21" s="8"/>
      <c r="E21" s="8"/>
      <c r="F21" s="26"/>
      <c r="G21" s="26"/>
      <c r="H21" s="26"/>
      <c r="I21" s="8"/>
      <c r="J21" s="26"/>
      <c r="K21" s="8"/>
      <c r="L21" s="5"/>
      <c r="M21" s="5"/>
      <c r="N21" s="5"/>
      <c r="O21" s="14"/>
      <c r="P21" s="14"/>
      <c r="Q21" s="14"/>
    </row>
    <row r="22" spans="1:17" ht="24">
      <c r="A22" s="10" t="s">
        <v>97</v>
      </c>
      <c r="B22" s="8"/>
      <c r="C22" s="8" t="s">
        <v>46</v>
      </c>
      <c r="D22" s="8"/>
      <c r="E22" s="8"/>
      <c r="F22" s="8" t="s">
        <v>86</v>
      </c>
      <c r="G22" s="8" t="s">
        <v>78</v>
      </c>
      <c r="H22" s="8" t="s">
        <v>87</v>
      </c>
      <c r="I22" s="8" t="s">
        <v>49</v>
      </c>
      <c r="J22" s="8"/>
      <c r="K22" s="16"/>
      <c r="L22" s="4"/>
      <c r="M22" s="5" t="s">
        <v>50</v>
      </c>
      <c r="N22" s="5" t="s">
        <v>51</v>
      </c>
      <c r="O22" s="14" t="s">
        <v>52</v>
      </c>
      <c r="P22" s="14">
        <v>2</v>
      </c>
      <c r="Q22" s="14"/>
    </row>
    <row r="23" spans="1:17" ht="24">
      <c r="A23" s="10" t="s">
        <v>98</v>
      </c>
      <c r="B23" s="8" t="s">
        <v>99</v>
      </c>
      <c r="C23" s="8" t="s">
        <v>46</v>
      </c>
      <c r="D23" s="24"/>
      <c r="E23" s="24"/>
      <c r="F23" s="22">
        <f>(F13/0.000000000029)/(Patient!C7*1000)</f>
        <v>5172413.793103449</v>
      </c>
      <c r="G23" s="8" t="s">
        <v>15</v>
      </c>
      <c r="H23" s="8" t="s">
        <v>100</v>
      </c>
      <c r="I23" s="8" t="s">
        <v>49</v>
      </c>
      <c r="J23" s="8" t="s">
        <v>94</v>
      </c>
      <c r="K23" s="25"/>
      <c r="L23" s="21"/>
      <c r="M23" s="5" t="s">
        <v>50</v>
      </c>
      <c r="N23" s="5" t="s">
        <v>101</v>
      </c>
      <c r="O23" s="14" t="s">
        <v>52</v>
      </c>
      <c r="P23" s="14"/>
      <c r="Q23" s="14"/>
    </row>
    <row r="24" spans="1:17">
      <c r="A24" s="10" t="s">
        <v>102</v>
      </c>
      <c r="B24" s="12"/>
      <c r="C24" s="8" t="s">
        <v>46</v>
      </c>
      <c r="D24" s="8"/>
      <c r="E24" s="8"/>
      <c r="F24" s="8" t="s">
        <v>103</v>
      </c>
      <c r="G24" s="8" t="s">
        <v>104</v>
      </c>
      <c r="H24" s="8" t="s">
        <v>105</v>
      </c>
      <c r="I24" s="8" t="s">
        <v>49</v>
      </c>
      <c r="J24" s="8"/>
      <c r="K24" s="12"/>
      <c r="L24" s="13"/>
      <c r="M24" s="5" t="s">
        <v>50</v>
      </c>
      <c r="N24" s="5" t="s">
        <v>51</v>
      </c>
      <c r="O24" s="14" t="s">
        <v>52</v>
      </c>
      <c r="P24" s="14">
        <v>3</v>
      </c>
      <c r="Q24" s="14"/>
    </row>
    <row r="25" spans="1:17">
      <c r="A25" s="10" t="s">
        <v>106</v>
      </c>
      <c r="B25" s="8" t="s">
        <v>89</v>
      </c>
      <c r="C25" s="8" t="s">
        <v>46</v>
      </c>
      <c r="D25" s="8"/>
      <c r="E25" s="8"/>
      <c r="F25" s="20" t="s">
        <v>107</v>
      </c>
      <c r="G25" s="8" t="s">
        <v>108</v>
      </c>
      <c r="H25" s="8"/>
      <c r="I25" s="8" t="s">
        <v>49</v>
      </c>
      <c r="J25" s="8"/>
      <c r="K25" s="12"/>
      <c r="L25" s="13"/>
      <c r="M25" s="5" t="s">
        <v>50</v>
      </c>
      <c r="N25" s="5" t="s">
        <v>71</v>
      </c>
      <c r="O25" s="14" t="s">
        <v>52</v>
      </c>
      <c r="P25" s="14">
        <v>1</v>
      </c>
      <c r="Q25" s="14"/>
    </row>
    <row r="26" spans="1:17">
      <c r="A26" s="10" t="s">
        <v>109</v>
      </c>
      <c r="B26" s="17" t="s">
        <v>110</v>
      </c>
      <c r="C26" s="17" t="s">
        <v>46</v>
      </c>
      <c r="D26" s="17"/>
      <c r="E26" s="17"/>
      <c r="F26" s="26" t="s">
        <v>111</v>
      </c>
      <c r="G26" s="26" t="s">
        <v>112</v>
      </c>
      <c r="H26" s="26" t="s">
        <v>113</v>
      </c>
      <c r="I26" s="8" t="s">
        <v>49</v>
      </c>
      <c r="J26" s="26"/>
      <c r="K26" s="4"/>
      <c r="L26" s="4"/>
      <c r="M26" s="5" t="s">
        <v>50</v>
      </c>
      <c r="N26" s="5" t="s">
        <v>71</v>
      </c>
      <c r="O26" s="14" t="s">
        <v>52</v>
      </c>
      <c r="P26" s="14"/>
      <c r="Q26" s="14"/>
    </row>
    <row r="27" spans="1:17">
      <c r="A27" s="10" t="s">
        <v>114</v>
      </c>
      <c r="B27" s="12"/>
      <c r="C27" s="8" t="s">
        <v>46</v>
      </c>
      <c r="D27" s="8"/>
      <c r="E27" s="8"/>
      <c r="F27" s="8">
        <v>2.3E-3</v>
      </c>
      <c r="G27" s="8" t="s">
        <v>115</v>
      </c>
      <c r="H27" s="12"/>
      <c r="I27" s="8" t="s">
        <v>49</v>
      </c>
      <c r="J27" s="12"/>
      <c r="K27" s="8"/>
      <c r="L27" s="13"/>
      <c r="M27" s="5" t="s">
        <v>50</v>
      </c>
      <c r="N27" s="5" t="s">
        <v>116</v>
      </c>
      <c r="O27" s="14" t="s">
        <v>52</v>
      </c>
      <c r="P27" s="14">
        <v>5</v>
      </c>
      <c r="Q27" s="14"/>
    </row>
    <row r="28" spans="1:17">
      <c r="A28" s="10" t="s">
        <v>117</v>
      </c>
      <c r="B28" s="12"/>
      <c r="C28" s="8" t="s">
        <v>46</v>
      </c>
      <c r="D28" s="8"/>
      <c r="E28" s="8"/>
      <c r="F28" s="8">
        <v>1.2999999999999999E-3</v>
      </c>
      <c r="G28" s="8" t="s">
        <v>115</v>
      </c>
      <c r="H28" s="12"/>
      <c r="I28" s="8" t="s">
        <v>49</v>
      </c>
      <c r="J28" s="12"/>
      <c r="K28" s="8"/>
      <c r="L28" s="13"/>
      <c r="M28" s="5" t="s">
        <v>50</v>
      </c>
      <c r="N28" s="5" t="s">
        <v>116</v>
      </c>
      <c r="O28" s="14" t="s">
        <v>52</v>
      </c>
      <c r="P28" s="14">
        <v>5</v>
      </c>
      <c r="Q28" s="14"/>
    </row>
    <row r="29" spans="1:17">
      <c r="A29" s="10" t="s">
        <v>118</v>
      </c>
      <c r="B29" s="20" t="s">
        <v>99</v>
      </c>
      <c r="C29" s="8" t="s">
        <v>46</v>
      </c>
      <c r="D29" s="8"/>
      <c r="E29" s="8"/>
      <c r="F29" s="27">
        <v>7000</v>
      </c>
      <c r="G29" s="17" t="s">
        <v>119</v>
      </c>
      <c r="H29" s="17" t="s">
        <v>120</v>
      </c>
      <c r="I29" s="8" t="s">
        <v>49</v>
      </c>
      <c r="J29" s="17"/>
      <c r="K29" s="16" t="s">
        <v>121</v>
      </c>
      <c r="L29" s="4"/>
      <c r="M29" s="5" t="s">
        <v>50</v>
      </c>
      <c r="N29" s="5" t="s">
        <v>122</v>
      </c>
      <c r="O29" s="14" t="s">
        <v>52</v>
      </c>
      <c r="P29" s="14"/>
      <c r="Q29" s="14"/>
    </row>
    <row r="30" spans="1:17" ht="24">
      <c r="A30" s="28" t="s">
        <v>123</v>
      </c>
      <c r="B30" s="3" t="s">
        <v>1</v>
      </c>
      <c r="C30" s="9" t="s">
        <v>31</v>
      </c>
      <c r="D30" s="9" t="s">
        <v>32</v>
      </c>
      <c r="E30" s="9" t="s">
        <v>33</v>
      </c>
      <c r="F30" s="9" t="s">
        <v>124</v>
      </c>
      <c r="G30" s="29" t="s">
        <v>125</v>
      </c>
      <c r="H30" s="29" t="s">
        <v>126</v>
      </c>
      <c r="I30" s="29" t="s">
        <v>36</v>
      </c>
      <c r="J30" s="3" t="s">
        <v>37</v>
      </c>
      <c r="K30" s="3" t="s">
        <v>38</v>
      </c>
      <c r="L30" s="29" t="s">
        <v>39</v>
      </c>
      <c r="M30" s="9" t="s">
        <v>40</v>
      </c>
      <c r="N30" s="9" t="s">
        <v>41</v>
      </c>
      <c r="O30" s="9" t="s">
        <v>42</v>
      </c>
      <c r="P30" s="9" t="s">
        <v>43</v>
      </c>
      <c r="Q30" s="9" t="s">
        <v>1194</v>
      </c>
    </row>
    <row r="31" spans="1:17" ht="56.25">
      <c r="A31" s="30" t="s">
        <v>127</v>
      </c>
      <c r="B31" s="18" t="s">
        <v>128</v>
      </c>
      <c r="C31" s="8" t="s">
        <v>46</v>
      </c>
      <c r="D31" s="8"/>
      <c r="E31" s="8"/>
      <c r="F31" s="18" t="s">
        <v>129</v>
      </c>
      <c r="G31" s="18" t="s">
        <v>130</v>
      </c>
      <c r="H31" s="18"/>
      <c r="I31" s="18" t="s">
        <v>49</v>
      </c>
      <c r="J31" s="18"/>
      <c r="K31" s="31" t="s">
        <v>131</v>
      </c>
      <c r="L31" s="4"/>
      <c r="M31" s="5" t="s">
        <v>50</v>
      </c>
      <c r="N31" s="5" t="s">
        <v>71</v>
      </c>
      <c r="O31" s="14" t="s">
        <v>132</v>
      </c>
      <c r="P31" s="14">
        <v>3</v>
      </c>
      <c r="Q31" s="14"/>
    </row>
    <row r="32" spans="1:17" ht="22.5">
      <c r="A32" s="30" t="s">
        <v>133</v>
      </c>
      <c r="B32" s="18" t="s">
        <v>110</v>
      </c>
      <c r="C32" s="8" t="s">
        <v>46</v>
      </c>
      <c r="D32" s="8"/>
      <c r="E32" s="8"/>
      <c r="F32" s="18" t="s">
        <v>134</v>
      </c>
      <c r="G32" s="18" t="s">
        <v>112</v>
      </c>
      <c r="H32" s="18" t="s">
        <v>113</v>
      </c>
      <c r="I32" s="18" t="s">
        <v>49</v>
      </c>
      <c r="J32" s="18"/>
      <c r="K32" s="32" t="s">
        <v>135</v>
      </c>
      <c r="L32" s="4"/>
      <c r="M32" s="5" t="s">
        <v>50</v>
      </c>
      <c r="N32" s="5" t="s">
        <v>71</v>
      </c>
      <c r="O32" s="14" t="s">
        <v>132</v>
      </c>
      <c r="P32" s="14">
        <v>1</v>
      </c>
      <c r="Q32" s="14"/>
    </row>
    <row r="33" spans="1:17">
      <c r="A33" s="10" t="s">
        <v>136</v>
      </c>
      <c r="B33" s="18" t="s">
        <v>110</v>
      </c>
      <c r="C33" s="8" t="s">
        <v>46</v>
      </c>
      <c r="D33" s="8"/>
      <c r="E33" s="8"/>
      <c r="F33" s="8" t="s">
        <v>137</v>
      </c>
      <c r="G33" s="18" t="s">
        <v>112</v>
      </c>
      <c r="H33" s="8" t="s">
        <v>138</v>
      </c>
      <c r="I33" s="18" t="s">
        <v>49</v>
      </c>
      <c r="J33" s="8"/>
      <c r="K33" s="8" t="s">
        <v>139</v>
      </c>
      <c r="L33" s="4"/>
      <c r="M33" s="5" t="s">
        <v>50</v>
      </c>
      <c r="N33" s="5" t="s">
        <v>140</v>
      </c>
      <c r="O33" s="14" t="s">
        <v>132</v>
      </c>
      <c r="P33" s="14">
        <v>3</v>
      </c>
      <c r="Q33" s="14"/>
    </row>
    <row r="34" spans="1:17">
      <c r="A34" s="10" t="s">
        <v>141</v>
      </c>
      <c r="B34" s="18" t="s">
        <v>128</v>
      </c>
      <c r="C34" s="8" t="s">
        <v>46</v>
      </c>
      <c r="D34" s="8"/>
      <c r="E34" s="8"/>
      <c r="F34" s="17" t="s">
        <v>142</v>
      </c>
      <c r="G34" s="18" t="s">
        <v>143</v>
      </c>
      <c r="H34" s="17" t="s">
        <v>138</v>
      </c>
      <c r="I34" s="18" t="s">
        <v>49</v>
      </c>
      <c r="J34" s="17"/>
      <c r="K34" s="8" t="s">
        <v>144</v>
      </c>
      <c r="L34" s="4"/>
      <c r="M34" s="5" t="s">
        <v>50</v>
      </c>
      <c r="N34" s="5" t="s">
        <v>71</v>
      </c>
      <c r="O34" s="14" t="s">
        <v>132</v>
      </c>
      <c r="P34" s="14">
        <v>2</v>
      </c>
      <c r="Q34" s="14"/>
    </row>
    <row r="35" spans="1:17" ht="36">
      <c r="A35" s="10" t="s">
        <v>145</v>
      </c>
      <c r="B35" s="18" t="s">
        <v>146</v>
      </c>
      <c r="C35" s="8" t="s">
        <v>46</v>
      </c>
      <c r="D35" s="8"/>
      <c r="E35" s="8"/>
      <c r="F35" s="17" t="s">
        <v>147</v>
      </c>
      <c r="G35" s="18" t="s">
        <v>148</v>
      </c>
      <c r="H35" s="17" t="s">
        <v>149</v>
      </c>
      <c r="I35" s="18" t="s">
        <v>49</v>
      </c>
      <c r="J35" s="17"/>
      <c r="K35" s="8" t="s">
        <v>150</v>
      </c>
      <c r="L35" s="4"/>
      <c r="M35" s="5" t="s">
        <v>50</v>
      </c>
      <c r="N35" s="5" t="s">
        <v>71</v>
      </c>
      <c r="O35" s="14" t="s">
        <v>132</v>
      </c>
      <c r="P35" s="14">
        <v>4</v>
      </c>
      <c r="Q35" s="14"/>
    </row>
    <row r="36" spans="1:17" ht="24">
      <c r="A36" s="10" t="s">
        <v>151</v>
      </c>
      <c r="B36" s="17" t="s">
        <v>128</v>
      </c>
      <c r="C36" s="8" t="s">
        <v>46</v>
      </c>
      <c r="D36" s="8"/>
      <c r="E36" s="8"/>
      <c r="F36" s="20" t="s">
        <v>152</v>
      </c>
      <c r="G36" s="17" t="s">
        <v>112</v>
      </c>
      <c r="H36" s="17" t="s">
        <v>153</v>
      </c>
      <c r="I36" s="18" t="s">
        <v>49</v>
      </c>
      <c r="J36" s="17"/>
      <c r="K36" s="4"/>
      <c r="L36" s="4"/>
      <c r="M36" s="5" t="s">
        <v>50</v>
      </c>
      <c r="N36" s="5" t="s">
        <v>71</v>
      </c>
      <c r="O36" s="14" t="s">
        <v>132</v>
      </c>
      <c r="P36" s="14">
        <v>1</v>
      </c>
      <c r="Q36" s="14"/>
    </row>
    <row r="37" spans="1:17" ht="60">
      <c r="A37" s="10" t="s">
        <v>154</v>
      </c>
      <c r="B37" s="17" t="s">
        <v>155</v>
      </c>
      <c r="C37" s="8" t="s">
        <v>46</v>
      </c>
      <c r="D37" s="8"/>
      <c r="E37" s="8"/>
      <c r="F37" s="8" t="s">
        <v>156</v>
      </c>
      <c r="G37" s="17" t="s">
        <v>157</v>
      </c>
      <c r="H37" s="17"/>
      <c r="I37" s="18" t="s">
        <v>49</v>
      </c>
      <c r="J37" s="17"/>
      <c r="K37" s="4"/>
      <c r="L37" s="4"/>
      <c r="M37" s="5" t="s">
        <v>50</v>
      </c>
      <c r="N37" s="5" t="s">
        <v>140</v>
      </c>
      <c r="O37" s="14" t="s">
        <v>132</v>
      </c>
      <c r="P37" s="14">
        <v>4</v>
      </c>
      <c r="Q37" s="14"/>
    </row>
    <row r="38" spans="1:17">
      <c r="A38" s="10" t="s">
        <v>158</v>
      </c>
      <c r="B38" s="17" t="s">
        <v>110</v>
      </c>
      <c r="C38" s="17" t="s">
        <v>46</v>
      </c>
      <c r="D38" s="17"/>
      <c r="E38" s="17"/>
      <c r="F38" s="26" t="s">
        <v>159</v>
      </c>
      <c r="G38" s="26" t="s">
        <v>112</v>
      </c>
      <c r="H38" s="26" t="s">
        <v>113</v>
      </c>
      <c r="I38" s="18" t="s">
        <v>49</v>
      </c>
      <c r="J38" s="17"/>
      <c r="K38" s="4"/>
      <c r="L38" s="4"/>
      <c r="M38" s="5" t="s">
        <v>50</v>
      </c>
      <c r="N38" s="5" t="s">
        <v>71</v>
      </c>
      <c r="O38" s="14" t="s">
        <v>132</v>
      </c>
      <c r="P38" s="14">
        <v>1</v>
      </c>
      <c r="Q38" s="14"/>
    </row>
    <row r="39" spans="1:17">
      <c r="A39" s="10" t="s">
        <v>160</v>
      </c>
      <c r="B39" s="17" t="s">
        <v>66</v>
      </c>
      <c r="C39" s="8" t="s">
        <v>46</v>
      </c>
      <c r="D39" s="8"/>
      <c r="E39" s="8"/>
      <c r="F39" s="17" t="s">
        <v>161</v>
      </c>
      <c r="G39" s="18" t="s">
        <v>162</v>
      </c>
      <c r="H39" s="17"/>
      <c r="I39" s="18" t="s">
        <v>49</v>
      </c>
      <c r="J39" s="17"/>
      <c r="K39" s="4" t="s">
        <v>163</v>
      </c>
      <c r="L39" s="4"/>
      <c r="M39" s="5" t="s">
        <v>50</v>
      </c>
      <c r="N39" s="5" t="s">
        <v>71</v>
      </c>
      <c r="O39" s="14" t="s">
        <v>132</v>
      </c>
      <c r="P39" s="14">
        <v>1</v>
      </c>
      <c r="Q39" s="14"/>
    </row>
    <row r="40" spans="1:17" ht="36.75">
      <c r="A40" s="10" t="s">
        <v>164</v>
      </c>
      <c r="B40" s="8" t="s">
        <v>110</v>
      </c>
      <c r="C40" s="8" t="s">
        <v>46</v>
      </c>
      <c r="D40" s="5" t="s">
        <v>165</v>
      </c>
      <c r="E40" s="5" t="s">
        <v>166</v>
      </c>
      <c r="F40" s="14" t="str">
        <f>IF(Patient!C7&lt;&gt;"Male",D40,E40)</f>
        <v>[13.8,17.2]</v>
      </c>
      <c r="G40" s="17" t="s">
        <v>15</v>
      </c>
      <c r="H40" s="17" t="s">
        <v>167</v>
      </c>
      <c r="I40" s="18" t="s">
        <v>49</v>
      </c>
      <c r="J40" s="17"/>
      <c r="K40" s="33" t="s">
        <v>168</v>
      </c>
      <c r="L40" s="21" t="s">
        <v>169</v>
      </c>
      <c r="M40" s="5" t="s">
        <v>50</v>
      </c>
      <c r="N40" s="5" t="s">
        <v>71</v>
      </c>
      <c r="O40" s="14" t="s">
        <v>132</v>
      </c>
      <c r="P40" s="14">
        <v>2</v>
      </c>
      <c r="Q40" s="14"/>
    </row>
    <row r="41" spans="1:17">
      <c r="A41" s="10" t="s">
        <v>170</v>
      </c>
      <c r="B41" s="18" t="s">
        <v>155</v>
      </c>
      <c r="C41" s="8" t="s">
        <v>46</v>
      </c>
      <c r="D41" s="8"/>
      <c r="E41" s="8"/>
      <c r="F41" s="26">
        <v>0.40600000000000003</v>
      </c>
      <c r="G41" s="17" t="s">
        <v>162</v>
      </c>
      <c r="H41" s="26"/>
      <c r="I41" s="18" t="s">
        <v>49</v>
      </c>
      <c r="J41" s="26"/>
      <c r="K41" s="4" t="s">
        <v>171</v>
      </c>
      <c r="L41" s="4"/>
      <c r="M41" s="5" t="s">
        <v>50</v>
      </c>
      <c r="N41" s="5" t="s">
        <v>71</v>
      </c>
      <c r="O41" s="14" t="s">
        <v>132</v>
      </c>
      <c r="P41" s="14">
        <v>3</v>
      </c>
      <c r="Q41" s="14"/>
    </row>
    <row r="42" spans="1:17" ht="24">
      <c r="A42" s="10" t="s">
        <v>172</v>
      </c>
      <c r="B42" s="18" t="s">
        <v>128</v>
      </c>
      <c r="C42" s="8" t="s">
        <v>46</v>
      </c>
      <c r="D42" s="8"/>
      <c r="E42" s="8"/>
      <c r="F42" s="26" t="s">
        <v>173</v>
      </c>
      <c r="G42" s="17" t="s">
        <v>174</v>
      </c>
      <c r="H42" s="26" t="s">
        <v>175</v>
      </c>
      <c r="I42" s="18" t="s">
        <v>49</v>
      </c>
      <c r="J42" s="5"/>
      <c r="K42" s="4" t="s">
        <v>176</v>
      </c>
      <c r="L42" s="4"/>
      <c r="M42" s="5" t="s">
        <v>50</v>
      </c>
      <c r="N42" s="5" t="s">
        <v>71</v>
      </c>
      <c r="O42" s="14" t="s">
        <v>132</v>
      </c>
      <c r="P42" s="14">
        <v>3</v>
      </c>
      <c r="Q42" s="14"/>
    </row>
    <row r="43" spans="1:17">
      <c r="A43" s="10" t="s">
        <v>177</v>
      </c>
      <c r="B43" s="17" t="s">
        <v>155</v>
      </c>
      <c r="C43" s="8" t="s">
        <v>46</v>
      </c>
      <c r="D43" s="8"/>
      <c r="E43" s="8"/>
      <c r="F43" s="26" t="s">
        <v>178</v>
      </c>
      <c r="G43" s="17" t="s">
        <v>179</v>
      </c>
      <c r="H43" s="26"/>
      <c r="I43" s="18" t="s">
        <v>49</v>
      </c>
      <c r="J43" s="5"/>
      <c r="K43" s="4"/>
      <c r="L43" s="4"/>
      <c r="M43" s="5" t="s">
        <v>50</v>
      </c>
      <c r="N43" s="5" t="s">
        <v>140</v>
      </c>
      <c r="O43" s="14" t="s">
        <v>132</v>
      </c>
      <c r="P43" s="14">
        <v>4</v>
      </c>
      <c r="Q43" s="14"/>
    </row>
    <row r="44" spans="1:17" ht="24">
      <c r="A44" s="10" t="s">
        <v>180</v>
      </c>
      <c r="B44" s="18" t="s">
        <v>128</v>
      </c>
      <c r="C44" s="8" t="s">
        <v>46</v>
      </c>
      <c r="D44" s="8"/>
      <c r="E44" s="8"/>
      <c r="F44" s="8" t="s">
        <v>181</v>
      </c>
      <c r="G44" s="17" t="s">
        <v>182</v>
      </c>
      <c r="H44" s="8" t="s">
        <v>183</v>
      </c>
      <c r="I44" s="18" t="s">
        <v>49</v>
      </c>
      <c r="J44" s="8"/>
      <c r="K44" s="4" t="s">
        <v>184</v>
      </c>
      <c r="L44" s="4"/>
      <c r="M44" s="5" t="s">
        <v>50</v>
      </c>
      <c r="N44" s="5" t="s">
        <v>71</v>
      </c>
      <c r="O44" s="14" t="s">
        <v>132</v>
      </c>
      <c r="P44" s="14">
        <v>2</v>
      </c>
      <c r="Q44" s="14"/>
    </row>
    <row r="45" spans="1:17" ht="24">
      <c r="A45" s="10" t="s">
        <v>185</v>
      </c>
      <c r="B45" s="18" t="s">
        <v>110</v>
      </c>
      <c r="C45" s="8" t="s">
        <v>46</v>
      </c>
      <c r="D45" s="8"/>
      <c r="E45" s="8"/>
      <c r="F45" s="8" t="s">
        <v>186</v>
      </c>
      <c r="G45" s="17" t="s">
        <v>112</v>
      </c>
      <c r="H45" s="8" t="s">
        <v>187</v>
      </c>
      <c r="I45" s="18" t="s">
        <v>49</v>
      </c>
      <c r="J45" s="8"/>
      <c r="K45" s="34" t="s">
        <v>188</v>
      </c>
      <c r="L45" s="4"/>
      <c r="M45" s="5" t="s">
        <v>50</v>
      </c>
      <c r="N45" s="5" t="s">
        <v>140</v>
      </c>
      <c r="O45" s="14" t="s">
        <v>132</v>
      </c>
      <c r="P45" s="14">
        <v>3</v>
      </c>
      <c r="Q45" s="14"/>
    </row>
    <row r="46" spans="1:17">
      <c r="A46" s="10" t="s">
        <v>189</v>
      </c>
      <c r="B46" s="26" t="s">
        <v>66</v>
      </c>
      <c r="C46" s="35" t="s">
        <v>46</v>
      </c>
      <c r="D46" s="35"/>
      <c r="E46" s="35"/>
      <c r="F46" s="36" t="s">
        <v>190</v>
      </c>
      <c r="G46" s="36" t="s">
        <v>112</v>
      </c>
      <c r="H46" s="36" t="s">
        <v>138</v>
      </c>
      <c r="I46" s="36" t="s">
        <v>49</v>
      </c>
      <c r="J46" s="36"/>
      <c r="K46" s="4" t="s">
        <v>191</v>
      </c>
      <c r="L46" s="4"/>
      <c r="M46" s="5" t="s">
        <v>50</v>
      </c>
      <c r="N46" s="5" t="s">
        <v>71</v>
      </c>
      <c r="O46" s="14" t="s">
        <v>132</v>
      </c>
      <c r="P46" s="14"/>
      <c r="Q46" s="14"/>
    </row>
    <row r="47" spans="1:17" ht="36">
      <c r="A47" s="10" t="s">
        <v>192</v>
      </c>
      <c r="B47" s="26" t="s">
        <v>66</v>
      </c>
      <c r="C47" s="8" t="s">
        <v>46</v>
      </c>
      <c r="D47" s="8"/>
      <c r="E47" s="8"/>
      <c r="F47" s="26" t="s">
        <v>193</v>
      </c>
      <c r="G47" s="26" t="s">
        <v>194</v>
      </c>
      <c r="H47" s="26"/>
      <c r="I47" s="18" t="s">
        <v>49</v>
      </c>
      <c r="J47" s="37" t="s">
        <v>195</v>
      </c>
      <c r="K47" s="38" t="s">
        <v>196</v>
      </c>
      <c r="L47" s="39" t="s">
        <v>197</v>
      </c>
      <c r="M47" s="5" t="s">
        <v>50</v>
      </c>
      <c r="N47" s="5" t="s">
        <v>71</v>
      </c>
      <c r="O47" s="14" t="s">
        <v>132</v>
      </c>
      <c r="P47" s="14">
        <v>2</v>
      </c>
      <c r="Q47" s="14"/>
    </row>
    <row r="48" spans="1:17" ht="24">
      <c r="A48" s="28" t="s">
        <v>198</v>
      </c>
      <c r="B48" s="3" t="s">
        <v>1</v>
      </c>
      <c r="C48" s="9" t="s">
        <v>31</v>
      </c>
      <c r="D48" s="9" t="s">
        <v>32</v>
      </c>
      <c r="E48" s="9" t="s">
        <v>33</v>
      </c>
      <c r="F48" s="9" t="s">
        <v>124</v>
      </c>
      <c r="G48" s="29" t="s">
        <v>125</v>
      </c>
      <c r="H48" s="29" t="s">
        <v>126</v>
      </c>
      <c r="I48" s="29" t="s">
        <v>36</v>
      </c>
      <c r="J48" s="3" t="s">
        <v>37</v>
      </c>
      <c r="K48" s="3" t="s">
        <v>38</v>
      </c>
      <c r="L48" s="29" t="s">
        <v>39</v>
      </c>
      <c r="M48" s="9" t="s">
        <v>40</v>
      </c>
      <c r="N48" s="9" t="s">
        <v>41</v>
      </c>
      <c r="O48" s="9" t="s">
        <v>42</v>
      </c>
      <c r="P48" s="9" t="s">
        <v>43</v>
      </c>
      <c r="Q48" s="9" t="s">
        <v>1194</v>
      </c>
    </row>
    <row r="49" spans="1:17">
      <c r="A49" s="10" t="s">
        <v>199</v>
      </c>
      <c r="B49" s="8" t="s">
        <v>200</v>
      </c>
      <c r="C49" s="8" t="s">
        <v>46</v>
      </c>
      <c r="D49" s="8"/>
      <c r="E49" s="8"/>
      <c r="F49" s="8">
        <v>40</v>
      </c>
      <c r="G49" s="8" t="s">
        <v>15</v>
      </c>
      <c r="H49" s="8" t="s">
        <v>201</v>
      </c>
      <c r="I49" s="8" t="s">
        <v>49</v>
      </c>
      <c r="J49" s="8"/>
      <c r="K49" s="4"/>
      <c r="L49" s="4"/>
      <c r="M49" s="5" t="s">
        <v>50</v>
      </c>
      <c r="N49" s="5" t="s">
        <v>71</v>
      </c>
      <c r="O49" s="14" t="s">
        <v>52</v>
      </c>
      <c r="P49" s="14"/>
      <c r="Q49" s="14"/>
    </row>
    <row r="50" spans="1:17">
      <c r="A50" s="10" t="s">
        <v>202</v>
      </c>
      <c r="B50" s="8" t="s">
        <v>200</v>
      </c>
      <c r="C50" s="8" t="s">
        <v>46</v>
      </c>
      <c r="D50" s="8"/>
      <c r="E50" s="8"/>
      <c r="F50" s="8">
        <v>95</v>
      </c>
      <c r="G50" s="8" t="s">
        <v>15</v>
      </c>
      <c r="H50" s="8" t="s">
        <v>203</v>
      </c>
      <c r="I50" s="8" t="s">
        <v>49</v>
      </c>
      <c r="J50" s="8"/>
      <c r="K50" s="4"/>
      <c r="L50" s="4"/>
      <c r="M50" s="5" t="s">
        <v>50</v>
      </c>
      <c r="N50" s="5" t="s">
        <v>71</v>
      </c>
      <c r="O50" s="14" t="s">
        <v>52</v>
      </c>
      <c r="P50" s="14"/>
      <c r="Q50" s="14"/>
    </row>
    <row r="51" spans="1:17">
      <c r="A51" s="10" t="s">
        <v>204</v>
      </c>
      <c r="B51" s="8" t="s">
        <v>200</v>
      </c>
      <c r="C51" s="8" t="s">
        <v>46</v>
      </c>
      <c r="D51" s="8"/>
      <c r="E51" s="8"/>
      <c r="F51" s="20">
        <v>45</v>
      </c>
      <c r="G51" s="8" t="s">
        <v>15</v>
      </c>
      <c r="H51" s="8" t="s">
        <v>201</v>
      </c>
      <c r="I51" s="8" t="s">
        <v>49</v>
      </c>
      <c r="J51" s="8"/>
      <c r="K51" s="4"/>
      <c r="L51" s="4"/>
      <c r="M51" s="5" t="s">
        <v>50</v>
      </c>
      <c r="N51" s="5" t="s">
        <v>71</v>
      </c>
      <c r="O51" s="14" t="s">
        <v>52</v>
      </c>
      <c r="P51" s="14"/>
      <c r="Q51" s="14"/>
    </row>
    <row r="52" spans="1:17">
      <c r="A52" s="10" t="s">
        <v>205</v>
      </c>
      <c r="B52" s="8" t="s">
        <v>200</v>
      </c>
      <c r="C52" s="8" t="s">
        <v>46</v>
      </c>
      <c r="D52" s="8"/>
      <c r="E52" s="8"/>
      <c r="F52" s="20">
        <v>40</v>
      </c>
      <c r="G52" s="8" t="s">
        <v>15</v>
      </c>
      <c r="H52" s="8" t="s">
        <v>206</v>
      </c>
      <c r="I52" s="8" t="s">
        <v>49</v>
      </c>
      <c r="J52" s="8"/>
      <c r="K52" s="4"/>
      <c r="L52" s="4"/>
      <c r="M52" s="5" t="s">
        <v>50</v>
      </c>
      <c r="N52" s="5" t="s">
        <v>71</v>
      </c>
      <c r="O52" s="14" t="s">
        <v>52</v>
      </c>
      <c r="P52" s="14"/>
      <c r="Q52" s="14"/>
    </row>
    <row r="53" spans="1:17">
      <c r="A53" s="10" t="s">
        <v>207</v>
      </c>
      <c r="B53" s="8" t="s">
        <v>200</v>
      </c>
      <c r="C53" s="8" t="s">
        <v>46</v>
      </c>
      <c r="D53" s="8"/>
      <c r="E53" s="8"/>
      <c r="F53" s="20">
        <v>40</v>
      </c>
      <c r="G53" s="8" t="s">
        <v>15</v>
      </c>
      <c r="H53" s="8" t="s">
        <v>208</v>
      </c>
      <c r="I53" s="8" t="s">
        <v>49</v>
      </c>
      <c r="J53" s="8"/>
      <c r="K53" s="4"/>
      <c r="L53" s="4"/>
      <c r="M53" s="5" t="s">
        <v>50</v>
      </c>
      <c r="N53" s="5" t="s">
        <v>71</v>
      </c>
      <c r="O53" s="14" t="s">
        <v>52</v>
      </c>
      <c r="P53" s="14"/>
      <c r="Q53" s="14"/>
    </row>
    <row r="54" spans="1:17">
      <c r="A54" s="10" t="s">
        <v>209</v>
      </c>
      <c r="B54" s="8" t="s">
        <v>200</v>
      </c>
      <c r="C54" s="8" t="s">
        <v>46</v>
      </c>
      <c r="D54" s="8"/>
      <c r="E54" s="8"/>
      <c r="F54" s="20">
        <v>104</v>
      </c>
      <c r="G54" s="8" t="s">
        <v>15</v>
      </c>
      <c r="H54" s="8" t="s">
        <v>206</v>
      </c>
      <c r="I54" s="8" t="s">
        <v>49</v>
      </c>
      <c r="J54" s="8"/>
      <c r="K54" s="4"/>
      <c r="L54" s="4"/>
      <c r="M54" s="5" t="s">
        <v>50</v>
      </c>
      <c r="N54" s="5" t="s">
        <v>71</v>
      </c>
      <c r="O54" s="14" t="s">
        <v>52</v>
      </c>
      <c r="P54" s="14"/>
      <c r="Q54" s="14"/>
    </row>
    <row r="55" spans="1:17">
      <c r="A55" s="10" t="s">
        <v>210</v>
      </c>
      <c r="B55" s="8" t="s">
        <v>200</v>
      </c>
      <c r="C55" s="8" t="s">
        <v>46</v>
      </c>
      <c r="D55" s="8"/>
      <c r="E55" s="8"/>
      <c r="F55" s="8">
        <v>40</v>
      </c>
      <c r="G55" s="8" t="s">
        <v>15</v>
      </c>
      <c r="H55" s="8" t="s">
        <v>201</v>
      </c>
      <c r="I55" s="8" t="s">
        <v>49</v>
      </c>
      <c r="J55" s="8"/>
      <c r="K55" s="4"/>
      <c r="L55" s="4"/>
      <c r="M55" s="5" t="s">
        <v>50</v>
      </c>
      <c r="N55" s="5" t="s">
        <v>71</v>
      </c>
      <c r="O55" s="14" t="s">
        <v>52</v>
      </c>
      <c r="P55" s="14"/>
      <c r="Q55" s="14"/>
    </row>
    <row r="56" spans="1:17">
      <c r="A56" s="10" t="s">
        <v>211</v>
      </c>
      <c r="B56" s="8" t="s">
        <v>200</v>
      </c>
      <c r="C56" s="8" t="s">
        <v>46</v>
      </c>
      <c r="D56" s="8"/>
      <c r="E56" s="8"/>
      <c r="F56" s="8">
        <v>45</v>
      </c>
      <c r="G56" s="8" t="s">
        <v>15</v>
      </c>
      <c r="H56" s="8" t="s">
        <v>201</v>
      </c>
      <c r="I56" s="8" t="s">
        <v>49</v>
      </c>
      <c r="J56" s="8"/>
      <c r="K56" s="4"/>
      <c r="L56" s="4"/>
      <c r="M56" s="5" t="s">
        <v>50</v>
      </c>
      <c r="N56" s="5" t="s">
        <v>71</v>
      </c>
      <c r="O56" s="14" t="s">
        <v>52</v>
      </c>
      <c r="P56" s="14"/>
      <c r="Q56" s="14"/>
    </row>
    <row r="57" spans="1:17" ht="24">
      <c r="A57" s="3" t="s">
        <v>212</v>
      </c>
      <c r="B57" s="9" t="s">
        <v>1</v>
      </c>
      <c r="C57" s="9" t="s">
        <v>31</v>
      </c>
      <c r="D57" s="9" t="s">
        <v>32</v>
      </c>
      <c r="E57" s="9" t="s">
        <v>33</v>
      </c>
      <c r="F57" s="9" t="s">
        <v>34</v>
      </c>
      <c r="G57" s="9" t="s">
        <v>3</v>
      </c>
      <c r="H57" s="9" t="s">
        <v>35</v>
      </c>
      <c r="I57" s="29" t="s">
        <v>36</v>
      </c>
      <c r="J57" s="9" t="s">
        <v>37</v>
      </c>
      <c r="K57" s="9" t="s">
        <v>38</v>
      </c>
      <c r="L57" s="9" t="s">
        <v>39</v>
      </c>
      <c r="M57" s="9" t="s">
        <v>40</v>
      </c>
      <c r="N57" s="9" t="s">
        <v>41</v>
      </c>
      <c r="O57" s="9" t="s">
        <v>42</v>
      </c>
      <c r="P57" s="9" t="s">
        <v>43</v>
      </c>
      <c r="Q57" s="9" t="s">
        <v>1194</v>
      </c>
    </row>
    <row r="58" spans="1:17" ht="24">
      <c r="A58" s="40" t="s">
        <v>58</v>
      </c>
      <c r="B58" s="8"/>
      <c r="C58" s="8" t="s">
        <v>46</v>
      </c>
      <c r="D58" s="8"/>
      <c r="E58" s="8"/>
      <c r="F58" s="8" t="str">
        <f>F6</f>
        <v>7.2,
 [7.35,7.4]</v>
      </c>
      <c r="G58" s="8" t="str">
        <f>G6</f>
        <v>valentin2002icrp,  guyton2006medical</v>
      </c>
      <c r="H58" s="8" t="str">
        <f>H6</f>
        <v>p137                                 p384</v>
      </c>
      <c r="I58" s="8" t="str">
        <f>I6</f>
        <v>Y</v>
      </c>
      <c r="J58" s="4" t="s">
        <v>213</v>
      </c>
      <c r="K58" s="4" t="s">
        <v>1189</v>
      </c>
      <c r="L58" s="4"/>
      <c r="M58" s="5" t="s">
        <v>214</v>
      </c>
      <c r="N58" s="5" t="s">
        <v>71</v>
      </c>
      <c r="O58" s="5" t="s">
        <v>1185</v>
      </c>
      <c r="P58" s="14"/>
      <c r="Q58" s="14"/>
    </row>
    <row r="59" spans="1:17">
      <c r="A59" s="40" t="s">
        <v>215</v>
      </c>
      <c r="B59" s="18" t="s">
        <v>45</v>
      </c>
      <c r="C59" s="8" t="s">
        <v>46</v>
      </c>
      <c r="D59" s="8"/>
      <c r="E59" s="8"/>
      <c r="F59" s="8" t="s">
        <v>216</v>
      </c>
      <c r="G59" s="18" t="s">
        <v>112</v>
      </c>
      <c r="H59" s="8" t="s">
        <v>138</v>
      </c>
      <c r="I59" s="8" t="s">
        <v>49</v>
      </c>
      <c r="J59" s="4" t="s">
        <v>217</v>
      </c>
      <c r="K59" s="4"/>
      <c r="L59" s="4"/>
      <c r="M59" s="5" t="s">
        <v>214</v>
      </c>
      <c r="N59" s="5" t="s">
        <v>71</v>
      </c>
      <c r="O59" s="5" t="s">
        <v>1185</v>
      </c>
      <c r="P59" s="14"/>
      <c r="Q59" s="14"/>
    </row>
    <row r="60" spans="1:17">
      <c r="A60" s="40" t="s">
        <v>218</v>
      </c>
      <c r="B60" s="8" t="s">
        <v>200</v>
      </c>
      <c r="C60" s="8" t="s">
        <v>46</v>
      </c>
      <c r="D60" s="8"/>
      <c r="E60" s="8"/>
      <c r="F60" s="8">
        <v>95</v>
      </c>
      <c r="G60" s="8" t="s">
        <v>15</v>
      </c>
      <c r="H60" s="8" t="s">
        <v>203</v>
      </c>
      <c r="I60" s="8" t="s">
        <v>49</v>
      </c>
      <c r="J60" s="4" t="s">
        <v>213</v>
      </c>
      <c r="K60" s="4"/>
      <c r="L60" s="4"/>
      <c r="M60" s="5" t="s">
        <v>214</v>
      </c>
      <c r="N60" s="5" t="s">
        <v>71</v>
      </c>
      <c r="O60" s="5" t="s">
        <v>1185</v>
      </c>
      <c r="P60" s="14"/>
      <c r="Q60" s="14"/>
    </row>
    <row r="61" spans="1:17">
      <c r="A61" s="40" t="s">
        <v>219</v>
      </c>
      <c r="B61" s="8" t="s">
        <v>200</v>
      </c>
      <c r="C61" s="8" t="s">
        <v>46</v>
      </c>
      <c r="D61" s="8"/>
      <c r="E61" s="8"/>
      <c r="F61" s="8">
        <v>40</v>
      </c>
      <c r="G61" s="8" t="s">
        <v>15</v>
      </c>
      <c r="H61" s="8" t="s">
        <v>201</v>
      </c>
      <c r="I61" s="8" t="s">
        <v>49</v>
      </c>
      <c r="J61" s="4" t="s">
        <v>213</v>
      </c>
      <c r="K61" s="4"/>
      <c r="L61" s="4"/>
      <c r="M61" s="5" t="s">
        <v>214</v>
      </c>
      <c r="N61" s="5" t="s">
        <v>71</v>
      </c>
      <c r="O61" s="5" t="s">
        <v>1185</v>
      </c>
      <c r="P61" s="14"/>
      <c r="Q61" s="14"/>
    </row>
    <row r="62" spans="1:17" ht="24">
      <c r="A62" s="40" t="s">
        <v>85</v>
      </c>
      <c r="B62" s="8"/>
      <c r="C62" s="8" t="s">
        <v>46</v>
      </c>
      <c r="D62" s="8"/>
      <c r="E62" s="8"/>
      <c r="F62" s="8" t="s">
        <v>86</v>
      </c>
      <c r="G62" s="8" t="s">
        <v>78</v>
      </c>
      <c r="H62" s="8" t="s">
        <v>87</v>
      </c>
      <c r="I62" s="8" t="s">
        <v>49</v>
      </c>
      <c r="J62" s="4" t="s">
        <v>213</v>
      </c>
      <c r="K62" s="4"/>
      <c r="L62" s="4"/>
      <c r="M62" s="5" t="s">
        <v>214</v>
      </c>
      <c r="N62" s="5" t="s">
        <v>71</v>
      </c>
      <c r="O62" s="5" t="s">
        <v>1185</v>
      </c>
      <c r="P62" s="14"/>
      <c r="Q62" s="14"/>
    </row>
    <row r="63" spans="1:17" ht="24">
      <c r="A63" s="3" t="s">
        <v>220</v>
      </c>
      <c r="B63" s="9" t="s">
        <v>1</v>
      </c>
      <c r="C63" s="9" t="s">
        <v>31</v>
      </c>
      <c r="D63" s="9"/>
      <c r="E63" s="9"/>
      <c r="F63" s="9" t="s">
        <v>34</v>
      </c>
      <c r="G63" s="9" t="s">
        <v>3</v>
      </c>
      <c r="H63" s="9" t="s">
        <v>35</v>
      </c>
      <c r="I63" s="29" t="s">
        <v>36</v>
      </c>
      <c r="J63" s="9" t="s">
        <v>37</v>
      </c>
      <c r="K63" s="9" t="s">
        <v>38</v>
      </c>
      <c r="L63" s="9" t="s">
        <v>39</v>
      </c>
      <c r="M63" s="9" t="s">
        <v>40</v>
      </c>
      <c r="N63" s="9" t="s">
        <v>41</v>
      </c>
      <c r="O63" s="9" t="s">
        <v>42</v>
      </c>
      <c r="P63" s="9" t="s">
        <v>43</v>
      </c>
      <c r="Q63" s="9" t="s">
        <v>1194</v>
      </c>
    </row>
    <row r="64" spans="1:17">
      <c r="A64" s="40" t="s">
        <v>76</v>
      </c>
      <c r="B64" s="4"/>
      <c r="C64" s="5" t="s">
        <v>46</v>
      </c>
      <c r="D64" s="5"/>
      <c r="E64" s="5"/>
      <c r="F64" s="14" t="str">
        <f>F12</f>
        <v>0.42,
[0.4,0.5]</v>
      </c>
      <c r="G64" s="14" t="str">
        <f>G12</f>
        <v>guyton2006medical,
valtin1995renal</v>
      </c>
      <c r="H64" s="4"/>
      <c r="I64" s="5" t="s">
        <v>49</v>
      </c>
      <c r="J64" s="4"/>
      <c r="K64" s="4"/>
      <c r="L64" s="4"/>
      <c r="M64" s="5" t="s">
        <v>221</v>
      </c>
      <c r="N64" s="5" t="s">
        <v>71</v>
      </c>
      <c r="O64" s="5" t="s">
        <v>1186</v>
      </c>
      <c r="P64" s="14"/>
      <c r="Q64" s="14"/>
    </row>
    <row r="65" spans="1:17">
      <c r="A65" s="40" t="s">
        <v>222</v>
      </c>
      <c r="B65" s="5" t="s">
        <v>110</v>
      </c>
      <c r="C65" s="5" t="s">
        <v>46</v>
      </c>
      <c r="D65" s="5" t="s">
        <v>165</v>
      </c>
      <c r="E65" s="5" t="s">
        <v>166</v>
      </c>
      <c r="F65" s="14" t="str">
        <f>IF(Patient!C2="Male",D65,E65)</f>
        <v>[13.8,17.2]</v>
      </c>
      <c r="G65" s="14" t="str">
        <f>G40</f>
        <v>guyton2006medical</v>
      </c>
      <c r="H65" s="4"/>
      <c r="I65" s="5" t="s">
        <v>49</v>
      </c>
      <c r="J65" s="4"/>
      <c r="K65" s="4"/>
      <c r="L65" s="4"/>
      <c r="M65" s="5" t="s">
        <v>221</v>
      </c>
      <c r="N65" s="5" t="s">
        <v>71</v>
      </c>
      <c r="O65" s="5" t="s">
        <v>1186</v>
      </c>
      <c r="P65" s="14"/>
      <c r="Q65" s="14"/>
    </row>
    <row r="66" spans="1:17">
      <c r="A66" s="40" t="s">
        <v>223</v>
      </c>
      <c r="B66" s="5" t="s">
        <v>224</v>
      </c>
      <c r="C66" s="5" t="s">
        <v>46</v>
      </c>
      <c r="D66" s="5"/>
      <c r="E66" s="5"/>
      <c r="F66" s="14" t="s">
        <v>225</v>
      </c>
      <c r="G66" s="8" t="s">
        <v>226</v>
      </c>
      <c r="H66" s="5"/>
      <c r="I66" s="5" t="s">
        <v>49</v>
      </c>
      <c r="J66" s="4"/>
      <c r="K66" s="41" t="s">
        <v>227</v>
      </c>
      <c r="L66" s="4"/>
      <c r="M66" s="5" t="s">
        <v>221</v>
      </c>
      <c r="N66" s="5" t="s">
        <v>71</v>
      </c>
      <c r="O66" s="5" t="s">
        <v>1186</v>
      </c>
      <c r="P66" s="14"/>
      <c r="Q66" s="14"/>
    </row>
    <row r="67" spans="1:17">
      <c r="A67" s="40" t="s">
        <v>228</v>
      </c>
      <c r="B67" s="5" t="s">
        <v>110</v>
      </c>
      <c r="C67" s="5" t="s">
        <v>46</v>
      </c>
      <c r="D67" s="5"/>
      <c r="E67" s="5"/>
      <c r="F67" s="14" t="s">
        <v>229</v>
      </c>
      <c r="G67" s="8" t="s">
        <v>230</v>
      </c>
      <c r="H67" s="4"/>
      <c r="I67" s="5" t="s">
        <v>49</v>
      </c>
      <c r="J67" s="4"/>
      <c r="K67" s="4"/>
      <c r="L67" s="4"/>
      <c r="M67" s="5" t="s">
        <v>221</v>
      </c>
      <c r="N67" s="5" t="s">
        <v>71</v>
      </c>
      <c r="O67" s="5" t="s">
        <v>1186</v>
      </c>
      <c r="P67" s="14"/>
      <c r="Q67" s="14"/>
    </row>
    <row r="68" spans="1:17">
      <c r="A68" s="40" t="s">
        <v>231</v>
      </c>
      <c r="B68" s="5" t="s">
        <v>232</v>
      </c>
      <c r="C68" s="5" t="s">
        <v>46</v>
      </c>
      <c r="D68" s="5"/>
      <c r="E68" s="5"/>
      <c r="F68" s="42">
        <v>8.9999999999999999E-8</v>
      </c>
      <c r="G68" s="8" t="s">
        <v>15</v>
      </c>
      <c r="H68" s="5" t="s">
        <v>233</v>
      </c>
      <c r="I68" s="5" t="s">
        <v>49</v>
      </c>
      <c r="J68" s="4"/>
      <c r="K68" s="4"/>
      <c r="L68" s="4"/>
      <c r="M68" s="5" t="s">
        <v>221</v>
      </c>
      <c r="N68" s="5" t="s">
        <v>101</v>
      </c>
      <c r="O68" s="5" t="s">
        <v>1186</v>
      </c>
      <c r="P68" s="14"/>
      <c r="Q68" s="14"/>
    </row>
    <row r="69" spans="1:17">
      <c r="A69" s="40" t="s">
        <v>234</v>
      </c>
      <c r="B69" s="5" t="s">
        <v>99</v>
      </c>
      <c r="C69" s="5" t="s">
        <v>46</v>
      </c>
      <c r="D69" s="5"/>
      <c r="E69" s="5"/>
      <c r="F69" s="17" t="s">
        <v>235</v>
      </c>
      <c r="G69" s="43" t="s">
        <v>236</v>
      </c>
      <c r="H69" s="4"/>
      <c r="I69" s="5" t="s">
        <v>49</v>
      </c>
      <c r="J69" s="4"/>
      <c r="K69" s="4" t="s">
        <v>237</v>
      </c>
      <c r="L69" s="4"/>
      <c r="M69" s="5" t="s">
        <v>221</v>
      </c>
      <c r="N69" s="5" t="s">
        <v>101</v>
      </c>
      <c r="O69" s="5" t="s">
        <v>1186</v>
      </c>
      <c r="P69" s="14"/>
      <c r="Q69" s="14"/>
    </row>
    <row r="70" spans="1:17">
      <c r="A70" s="40" t="s">
        <v>98</v>
      </c>
      <c r="B70" s="14" t="str">
        <f>B23</f>
        <v>ct/uL</v>
      </c>
      <c r="C70" s="5" t="s">
        <v>46</v>
      </c>
      <c r="D70" s="5"/>
      <c r="E70" s="5"/>
      <c r="F70" s="14">
        <f>F23</f>
        <v>5172413.793103449</v>
      </c>
      <c r="G70" s="14" t="str">
        <f>G23</f>
        <v>guyton2006medical</v>
      </c>
      <c r="H70" s="4"/>
      <c r="I70" s="5" t="s">
        <v>49</v>
      </c>
      <c r="J70" s="4"/>
      <c r="K70" s="4"/>
      <c r="L70" s="4"/>
      <c r="M70" s="5" t="s">
        <v>221</v>
      </c>
      <c r="N70" s="5" t="s">
        <v>101</v>
      </c>
      <c r="O70" s="5" t="s">
        <v>1186</v>
      </c>
      <c r="P70" s="14"/>
      <c r="Q70" s="14"/>
    </row>
    <row r="71" spans="1:17">
      <c r="A71" s="40" t="s">
        <v>118</v>
      </c>
      <c r="B71" s="44" t="str">
        <f>B29</f>
        <v>ct/uL</v>
      </c>
      <c r="C71" s="5" t="s">
        <v>46</v>
      </c>
      <c r="D71" s="5"/>
      <c r="E71" s="5"/>
      <c r="F71" s="44">
        <f>F29</f>
        <v>7000</v>
      </c>
      <c r="G71" s="44" t="str">
        <f>G29</f>
        <v xml:space="preserve">guyton2006medical   </v>
      </c>
      <c r="H71" s="4"/>
      <c r="I71" s="5" t="s">
        <v>49</v>
      </c>
      <c r="J71" s="4"/>
      <c r="K71" s="4"/>
      <c r="L71" s="4"/>
      <c r="M71" s="5" t="s">
        <v>221</v>
      </c>
      <c r="N71" s="5" t="s">
        <v>71</v>
      </c>
      <c r="O71" s="5" t="s">
        <v>1186</v>
      </c>
      <c r="P71" s="14"/>
      <c r="Q71" s="14"/>
    </row>
    <row r="72" spans="1:17" ht="24">
      <c r="A72" s="3" t="s">
        <v>238</v>
      </c>
      <c r="B72" s="9" t="s">
        <v>1</v>
      </c>
      <c r="C72" s="9" t="s">
        <v>31</v>
      </c>
      <c r="D72" s="9" t="s">
        <v>32</v>
      </c>
      <c r="E72" s="9" t="s">
        <v>33</v>
      </c>
      <c r="F72" s="9" t="s">
        <v>34</v>
      </c>
      <c r="G72" s="9" t="s">
        <v>3</v>
      </c>
      <c r="H72" s="9" t="s">
        <v>35</v>
      </c>
      <c r="I72" s="29" t="s">
        <v>36</v>
      </c>
      <c r="J72" s="9" t="s">
        <v>37</v>
      </c>
      <c r="K72" s="9" t="s">
        <v>38</v>
      </c>
      <c r="L72" s="9" t="s">
        <v>39</v>
      </c>
      <c r="M72" s="9" t="s">
        <v>40</v>
      </c>
      <c r="N72" s="9" t="s">
        <v>41</v>
      </c>
      <c r="O72" s="9" t="s">
        <v>42</v>
      </c>
      <c r="P72" s="9" t="s">
        <v>43</v>
      </c>
      <c r="Q72" s="9" t="s">
        <v>1194</v>
      </c>
    </row>
    <row r="73" spans="1:17">
      <c r="A73" s="40" t="s">
        <v>239</v>
      </c>
      <c r="B73" s="5" t="s">
        <v>110</v>
      </c>
      <c r="C73" s="5" t="s">
        <v>46</v>
      </c>
      <c r="D73" s="5"/>
      <c r="E73" s="5"/>
      <c r="F73" s="14" t="str">
        <f>F32</f>
        <v>[4,5]</v>
      </c>
      <c r="G73" s="14" t="str">
        <f>G32</f>
        <v>valtin1995renal</v>
      </c>
      <c r="H73" s="4"/>
      <c r="I73" s="5" t="s">
        <v>49</v>
      </c>
      <c r="J73" s="4"/>
      <c r="K73" s="4"/>
      <c r="L73" s="4"/>
      <c r="M73" s="5" t="s">
        <v>240</v>
      </c>
      <c r="N73" s="5" t="s">
        <v>71</v>
      </c>
      <c r="O73" s="5" t="s">
        <v>1187</v>
      </c>
      <c r="P73" s="14"/>
      <c r="Q73" s="14"/>
    </row>
    <row r="74" spans="1:17">
      <c r="A74" s="40" t="s">
        <v>241</v>
      </c>
      <c r="B74" s="4"/>
      <c r="C74" s="5" t="s">
        <v>46</v>
      </c>
      <c r="D74" s="5"/>
      <c r="E74" s="5"/>
      <c r="F74" s="14"/>
      <c r="G74" s="4"/>
      <c r="H74" s="4"/>
      <c r="I74" s="5" t="s">
        <v>49</v>
      </c>
      <c r="J74" s="4"/>
      <c r="K74" s="4"/>
      <c r="L74" s="4"/>
      <c r="M74" s="5" t="s">
        <v>240</v>
      </c>
      <c r="N74" s="5" t="s">
        <v>71</v>
      </c>
      <c r="O74" s="5" t="s">
        <v>1187</v>
      </c>
      <c r="P74" s="14"/>
      <c r="Q74" s="14"/>
    </row>
    <row r="75" spans="1:17">
      <c r="A75" s="40" t="s">
        <v>242</v>
      </c>
      <c r="B75" s="4"/>
      <c r="C75" s="5" t="s">
        <v>46</v>
      </c>
      <c r="D75" s="5"/>
      <c r="E75" s="5"/>
      <c r="F75" s="14"/>
      <c r="G75" s="4"/>
      <c r="H75" s="4"/>
      <c r="I75" s="5" t="s">
        <v>49</v>
      </c>
      <c r="J75" s="4"/>
      <c r="K75" s="4"/>
      <c r="L75" s="4"/>
      <c r="M75" s="5" t="s">
        <v>240</v>
      </c>
      <c r="N75" s="5" t="s">
        <v>71</v>
      </c>
      <c r="O75" s="5" t="s">
        <v>1187</v>
      </c>
      <c r="P75" s="14"/>
      <c r="Q75" s="14"/>
    </row>
    <row r="76" spans="1:17">
      <c r="A76" s="40" t="s">
        <v>243</v>
      </c>
      <c r="B76" s="4"/>
      <c r="C76" s="5" t="s">
        <v>46</v>
      </c>
      <c r="D76" s="5"/>
      <c r="E76" s="5"/>
      <c r="F76" s="14"/>
      <c r="G76" s="4"/>
      <c r="H76" s="4"/>
      <c r="I76" s="5" t="s">
        <v>49</v>
      </c>
      <c r="J76" s="4"/>
      <c r="K76" s="4"/>
      <c r="L76" s="4"/>
      <c r="M76" s="5" t="s">
        <v>240</v>
      </c>
      <c r="N76" s="5" t="s">
        <v>71</v>
      </c>
      <c r="O76" s="5" t="s">
        <v>1187</v>
      </c>
      <c r="P76" s="14"/>
      <c r="Q76" s="14"/>
    </row>
    <row r="77" spans="1:17">
      <c r="A77" s="40" t="s">
        <v>244</v>
      </c>
      <c r="B77" s="5" t="s">
        <v>66</v>
      </c>
      <c r="C77" s="5" t="s">
        <v>46</v>
      </c>
      <c r="D77" s="5"/>
      <c r="E77" s="5"/>
      <c r="F77" s="14" t="str">
        <f>F8</f>
        <v>[9.0,18.0],
[6.0,20.0]</v>
      </c>
      <c r="G77" s="14" t="str">
        <f>G8</f>
        <v>valtin1995renal,
Deepakfirst</v>
      </c>
      <c r="H77" s="4"/>
      <c r="I77" s="5" t="s">
        <v>49</v>
      </c>
      <c r="J77" s="4"/>
      <c r="K77" s="4"/>
      <c r="L77" s="4"/>
      <c r="M77" s="5" t="s">
        <v>240</v>
      </c>
      <c r="N77" s="5" t="s">
        <v>71</v>
      </c>
      <c r="O77" s="5" t="s">
        <v>1187</v>
      </c>
      <c r="P77" s="14"/>
      <c r="Q77" s="14"/>
    </row>
    <row r="78" spans="1:17">
      <c r="A78" s="40" t="s">
        <v>245</v>
      </c>
      <c r="B78" s="5" t="s">
        <v>128</v>
      </c>
      <c r="C78" s="5" t="s">
        <v>46</v>
      </c>
      <c r="D78" s="5"/>
      <c r="E78" s="5"/>
      <c r="F78" s="14" t="str">
        <f>F34</f>
        <v>[44.08,52.1]</v>
      </c>
      <c r="G78" s="14" t="str">
        <f>G34</f>
        <v>cheuvront2014comparison</v>
      </c>
      <c r="H78" s="4"/>
      <c r="I78" s="5" t="s">
        <v>49</v>
      </c>
      <c r="J78" s="4"/>
      <c r="K78" s="4"/>
      <c r="L78" s="4"/>
      <c r="M78" s="5" t="s">
        <v>240</v>
      </c>
      <c r="N78" s="5" t="s">
        <v>71</v>
      </c>
      <c r="O78" s="5" t="s">
        <v>1187</v>
      </c>
      <c r="P78" s="14"/>
      <c r="Q78" s="14"/>
    </row>
    <row r="79" spans="1:17">
      <c r="A79" s="40" t="s">
        <v>246</v>
      </c>
      <c r="B79" s="14"/>
      <c r="C79" s="5" t="s">
        <v>46</v>
      </c>
      <c r="D79" s="5"/>
      <c r="E79" s="5"/>
      <c r="F79" s="14"/>
      <c r="G79" s="4"/>
      <c r="H79" s="4"/>
      <c r="I79" s="5" t="s">
        <v>49</v>
      </c>
      <c r="J79" s="4"/>
      <c r="K79" s="4"/>
      <c r="L79" s="4"/>
      <c r="M79" s="5" t="s">
        <v>240</v>
      </c>
      <c r="N79" s="5" t="s">
        <v>71</v>
      </c>
      <c r="O79" s="5" t="s">
        <v>1187</v>
      </c>
      <c r="P79" s="14"/>
      <c r="Q79" s="14"/>
    </row>
    <row r="80" spans="1:17">
      <c r="A80" s="40" t="s">
        <v>247</v>
      </c>
      <c r="B80" s="14" t="s">
        <v>89</v>
      </c>
      <c r="C80" s="5" t="s">
        <v>46</v>
      </c>
      <c r="D80" s="5"/>
      <c r="E80" s="5"/>
      <c r="F80" s="14" t="s">
        <v>248</v>
      </c>
      <c r="G80" s="14" t="str">
        <f>G33</f>
        <v>valtin1995renal</v>
      </c>
      <c r="H80" s="4"/>
      <c r="I80" s="5" t="s">
        <v>49</v>
      </c>
      <c r="J80" s="4"/>
      <c r="K80" s="4"/>
      <c r="L80" s="4"/>
      <c r="M80" s="5" t="s">
        <v>240</v>
      </c>
      <c r="N80" s="5" t="s">
        <v>71</v>
      </c>
      <c r="O80" s="5" t="s">
        <v>1187</v>
      </c>
      <c r="P80" s="14"/>
      <c r="Q80" s="14"/>
    </row>
    <row r="81" spans="1:17">
      <c r="A81" s="40" t="s">
        <v>249</v>
      </c>
      <c r="B81" s="5" t="s">
        <v>128</v>
      </c>
      <c r="C81" s="5" t="s">
        <v>46</v>
      </c>
      <c r="D81" s="5"/>
      <c r="E81" s="5"/>
      <c r="F81" s="14" t="str">
        <f>F36</f>
        <v>[5.0,15.0]</v>
      </c>
      <c r="G81" s="14" t="str">
        <f>G36</f>
        <v>valtin1995renal</v>
      </c>
      <c r="H81" s="4"/>
      <c r="I81" s="5" t="s">
        <v>49</v>
      </c>
      <c r="J81" s="4"/>
      <c r="K81" s="4"/>
      <c r="L81" s="4"/>
      <c r="M81" s="5" t="s">
        <v>240</v>
      </c>
      <c r="N81" s="5" t="s">
        <v>71</v>
      </c>
      <c r="O81" s="5" t="s">
        <v>1187</v>
      </c>
      <c r="P81" s="14"/>
      <c r="Q81" s="14"/>
    </row>
    <row r="82" spans="1:17">
      <c r="A82" s="40" t="s">
        <v>250</v>
      </c>
      <c r="B82" s="5" t="s">
        <v>66</v>
      </c>
      <c r="C82" s="5" t="s">
        <v>46</v>
      </c>
      <c r="D82" s="5"/>
      <c r="E82" s="5"/>
      <c r="F82" s="14" t="s">
        <v>251</v>
      </c>
      <c r="G82" s="14" t="s">
        <v>91</v>
      </c>
      <c r="H82" s="4"/>
      <c r="I82" s="5" t="s">
        <v>49</v>
      </c>
      <c r="J82" s="4"/>
      <c r="K82" s="4"/>
      <c r="L82" s="4"/>
      <c r="M82" s="5" t="s">
        <v>240</v>
      </c>
      <c r="N82" s="5" t="s">
        <v>71</v>
      </c>
      <c r="O82" s="5" t="s">
        <v>1187</v>
      </c>
      <c r="P82" s="14"/>
      <c r="Q82" s="14"/>
    </row>
    <row r="83" spans="1:17">
      <c r="A83" s="40" t="s">
        <v>252</v>
      </c>
      <c r="B83" s="4"/>
      <c r="C83" s="5" t="s">
        <v>46</v>
      </c>
      <c r="D83" s="5"/>
      <c r="E83" s="5"/>
      <c r="F83" s="14"/>
      <c r="G83" s="4"/>
      <c r="H83" s="4"/>
      <c r="I83" s="5" t="s">
        <v>49</v>
      </c>
      <c r="J83" s="4"/>
      <c r="K83" s="4"/>
      <c r="L83" s="4"/>
      <c r="M83" s="5" t="s">
        <v>240</v>
      </c>
      <c r="N83" s="5" t="s">
        <v>71</v>
      </c>
      <c r="O83" s="5" t="s">
        <v>1187</v>
      </c>
      <c r="P83" s="14"/>
      <c r="Q83" s="14"/>
    </row>
    <row r="84" spans="1:17">
      <c r="A84" s="40" t="s">
        <v>253</v>
      </c>
      <c r="B84" s="18" t="s">
        <v>89</v>
      </c>
      <c r="C84" s="5" t="s">
        <v>46</v>
      </c>
      <c r="D84" s="5"/>
      <c r="E84" s="5"/>
      <c r="F84" s="14" t="s">
        <v>254</v>
      </c>
      <c r="G84" s="14" t="str">
        <f>G44</f>
        <v>Leeuwen2015laboratory,
valtin1995renal</v>
      </c>
      <c r="H84" s="4"/>
      <c r="I84" s="5" t="s">
        <v>49</v>
      </c>
      <c r="J84" s="4"/>
      <c r="K84" s="4"/>
      <c r="L84" s="4"/>
      <c r="M84" s="5" t="s">
        <v>240</v>
      </c>
      <c r="N84" s="5" t="s">
        <v>71</v>
      </c>
      <c r="O84" s="5" t="s">
        <v>1187</v>
      </c>
      <c r="P84" s="14"/>
      <c r="Q84" s="14"/>
    </row>
    <row r="85" spans="1:17">
      <c r="A85" s="40" t="s">
        <v>255</v>
      </c>
      <c r="B85" s="4"/>
      <c r="C85" s="5" t="s">
        <v>46</v>
      </c>
      <c r="D85" s="5"/>
      <c r="E85" s="5"/>
      <c r="F85" s="14"/>
      <c r="G85" s="4"/>
      <c r="H85" s="4"/>
      <c r="I85" s="5" t="s">
        <v>49</v>
      </c>
      <c r="J85" s="4"/>
      <c r="K85" s="4"/>
      <c r="L85" s="4"/>
      <c r="M85" s="5" t="s">
        <v>240</v>
      </c>
      <c r="N85" s="5" t="s">
        <v>71</v>
      </c>
      <c r="O85" s="5" t="s">
        <v>1187</v>
      </c>
      <c r="P85" s="14"/>
      <c r="Q85" s="14"/>
    </row>
    <row r="86" spans="1:17">
      <c r="A86" s="40" t="s">
        <v>256</v>
      </c>
      <c r="B86" s="18" t="s">
        <v>110</v>
      </c>
      <c r="C86" s="5" t="s">
        <v>46</v>
      </c>
      <c r="D86" s="5"/>
      <c r="E86" s="5"/>
      <c r="F86" s="14" t="str">
        <f>F26</f>
        <v>[6,8]</v>
      </c>
      <c r="G86" s="14" t="str">
        <f>G26</f>
        <v>valtin1995renal</v>
      </c>
      <c r="H86" s="4"/>
      <c r="I86" s="5" t="s">
        <v>49</v>
      </c>
      <c r="J86" s="14"/>
      <c r="K86" s="4"/>
      <c r="L86" s="4"/>
      <c r="M86" s="5" t="s">
        <v>240</v>
      </c>
      <c r="N86" s="5" t="s">
        <v>71</v>
      </c>
      <c r="O86" s="5" t="s">
        <v>1187</v>
      </c>
      <c r="P86" s="14"/>
      <c r="Q86" s="14"/>
    </row>
    <row r="87" spans="1:17">
      <c r="O87" s="45"/>
    </row>
  </sheetData>
  <hyperlinks>
    <hyperlink ref="L19" r:id="rId1" xr:uid="{00000000-0004-0000-0100-000000000000}"/>
    <hyperlink ref="L40" r:id="rId2" xr:uid="{00000000-0004-0000-0100-000001000000}"/>
    <hyperlink ref="L47" r:id="rId3" xr:uid="{00000000-0004-0000-0100-000002000000}"/>
    <hyperlink ref="K66" r:id="rId4" xr:uid="{00000000-0004-0000-0100-000003000000}"/>
    <hyperlink ref="O58" r:id="rId5" xr:uid="{77CFD383-FFBB-43C3-9719-6C8925AAAF78}"/>
    <hyperlink ref="O59" r:id="rId6" xr:uid="{FC8D543E-EB3E-4309-9928-49CA2DE8AE52}"/>
    <hyperlink ref="O60" r:id="rId7" xr:uid="{DBD15686-F216-4EDA-9421-9DE799BC92F4}"/>
    <hyperlink ref="O61" r:id="rId8" xr:uid="{8D9A9D3D-AD62-4201-ACA3-FDDCAEB5E9FC}"/>
    <hyperlink ref="O62" r:id="rId9" xr:uid="{0042DED4-84E3-45EF-B81A-33C49E246FFA}"/>
    <hyperlink ref="O64" r:id="rId10" xr:uid="{20112368-58A2-4555-8B18-514CF165C0FC}"/>
    <hyperlink ref="O65:O71" r:id="rId11" display="CBC@120s" xr:uid="{20D8E90A-E850-443A-BB57-0CD158AC0414}"/>
    <hyperlink ref="O73" r:id="rId12" xr:uid="{0318CE1E-6F08-4524-A904-03D995DB5DB1}"/>
    <hyperlink ref="O74:O86" r:id="rId13" display="CMP@120s" xr:uid="{C869CBFA-5948-401B-822D-A99AAEA40075}"/>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zoomScaleNormal="100" workbookViewId="0">
      <pane xSplit="1" topLeftCell="B1" activePane="topRight" state="frozen"/>
      <selection pane="topRight"/>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7" width="10.5703125" style="1" customWidth="1"/>
    <col min="18" max="1022" width="9.140625" style="1"/>
  </cols>
  <sheetData>
    <row r="1" spans="1:17"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c r="Q1" s="9" t="s">
        <v>1194</v>
      </c>
    </row>
    <row r="2" spans="1:17" ht="24">
      <c r="A2" s="48" t="s">
        <v>257</v>
      </c>
      <c r="B2" s="8"/>
      <c r="C2" s="8"/>
      <c r="D2" s="8"/>
      <c r="E2" s="8"/>
      <c r="F2" s="8"/>
      <c r="G2" s="8"/>
      <c r="H2" s="8"/>
      <c r="I2" s="8"/>
      <c r="J2" s="26" t="s">
        <v>258</v>
      </c>
      <c r="K2" s="25"/>
      <c r="L2" s="49"/>
      <c r="M2" s="5" t="s">
        <v>259</v>
      </c>
      <c r="N2" s="5"/>
      <c r="O2" s="14" t="s">
        <v>52</v>
      </c>
      <c r="P2" s="14">
        <v>2</v>
      </c>
      <c r="Q2" s="14"/>
    </row>
    <row r="3" spans="1:17" ht="36.75" customHeight="1">
      <c r="A3" s="10" t="s">
        <v>16</v>
      </c>
      <c r="B3" s="8" t="s">
        <v>17</v>
      </c>
      <c r="C3" s="8" t="s">
        <v>46</v>
      </c>
      <c r="D3" s="8"/>
      <c r="E3" s="8"/>
      <c r="F3" s="23">
        <f>Patient!$C$7</f>
        <v>5509.6546665792184</v>
      </c>
      <c r="G3" s="8" t="s">
        <v>15</v>
      </c>
      <c r="H3" s="8" t="s">
        <v>260</v>
      </c>
      <c r="I3" s="8" t="s">
        <v>49</v>
      </c>
      <c r="J3" s="5"/>
      <c r="K3" s="8" t="s">
        <v>261</v>
      </c>
      <c r="L3" s="49"/>
      <c r="M3" s="5" t="s">
        <v>259</v>
      </c>
      <c r="N3" s="5" t="s">
        <v>57</v>
      </c>
      <c r="O3" s="14" t="s">
        <v>52</v>
      </c>
      <c r="P3" s="14"/>
      <c r="Q3" s="14"/>
    </row>
    <row r="4" spans="1:17" ht="36.75" customHeight="1">
      <c r="A4" s="10" t="s">
        <v>18</v>
      </c>
      <c r="B4" s="8" t="s">
        <v>262</v>
      </c>
      <c r="C4" s="8" t="s">
        <v>46</v>
      </c>
      <c r="D4" s="8"/>
      <c r="E4" s="8"/>
      <c r="F4" s="50">
        <f>Patient!$C$8</f>
        <v>2.9991033145287878</v>
      </c>
      <c r="G4" s="8" t="s">
        <v>15</v>
      </c>
      <c r="H4" s="8" t="s">
        <v>263</v>
      </c>
      <c r="I4" s="8" t="s">
        <v>49</v>
      </c>
      <c r="J4" s="26" t="s">
        <v>264</v>
      </c>
      <c r="K4" s="8"/>
      <c r="L4" s="49"/>
      <c r="M4" s="5" t="s">
        <v>259</v>
      </c>
      <c r="N4" s="5" t="s">
        <v>71</v>
      </c>
      <c r="O4" s="14" t="s">
        <v>52</v>
      </c>
      <c r="P4" s="14">
        <v>1</v>
      </c>
      <c r="Q4" s="14"/>
    </row>
    <row r="5" spans="1:17" ht="45.75" customHeight="1">
      <c r="A5" s="10" t="s">
        <v>13</v>
      </c>
      <c r="B5" s="8" t="s">
        <v>14</v>
      </c>
      <c r="C5" s="8" t="s">
        <v>46</v>
      </c>
      <c r="D5" s="8"/>
      <c r="E5" s="8"/>
      <c r="F5" s="23">
        <f>Patient!$C$6</f>
        <v>5600</v>
      </c>
      <c r="G5" s="8" t="s">
        <v>15</v>
      </c>
      <c r="H5" s="8" t="s">
        <v>263</v>
      </c>
      <c r="I5" s="8" t="s">
        <v>49</v>
      </c>
      <c r="J5" s="5"/>
      <c r="K5" s="8"/>
      <c r="L5" s="49"/>
      <c r="M5" s="5" t="s">
        <v>259</v>
      </c>
      <c r="N5" s="5" t="s">
        <v>57</v>
      </c>
      <c r="O5" s="14" t="s">
        <v>52</v>
      </c>
      <c r="P5" s="14"/>
      <c r="Q5" s="14"/>
    </row>
    <row r="6" spans="1:17" ht="60">
      <c r="A6" s="48" t="s">
        <v>265</v>
      </c>
      <c r="B6" s="17" t="s">
        <v>200</v>
      </c>
      <c r="C6" s="8" t="s">
        <v>46</v>
      </c>
      <c r="D6" s="8"/>
      <c r="E6" s="8"/>
      <c r="F6" s="20" t="s">
        <v>266</v>
      </c>
      <c r="G6" s="17" t="s">
        <v>91</v>
      </c>
      <c r="H6" s="8" t="s">
        <v>267</v>
      </c>
      <c r="I6" s="8"/>
      <c r="J6" s="26" t="s">
        <v>258</v>
      </c>
      <c r="K6" s="17" t="s">
        <v>268</v>
      </c>
      <c r="L6" s="49"/>
      <c r="M6" s="5" t="s">
        <v>259</v>
      </c>
      <c r="N6" s="5"/>
      <c r="O6" s="14" t="s">
        <v>52</v>
      </c>
      <c r="P6" s="14">
        <v>3</v>
      </c>
      <c r="Q6" s="14"/>
    </row>
    <row r="7" spans="1:17">
      <c r="A7" s="10" t="s">
        <v>269</v>
      </c>
      <c r="B7" s="8" t="s">
        <v>14</v>
      </c>
      <c r="C7" s="8" t="s">
        <v>46</v>
      </c>
      <c r="D7" s="8"/>
      <c r="E7" s="8"/>
      <c r="F7" s="20">
        <f>F43*60</f>
        <v>672</v>
      </c>
      <c r="G7" s="17" t="s">
        <v>270</v>
      </c>
      <c r="H7" s="8"/>
      <c r="I7" s="8" t="s">
        <v>49</v>
      </c>
      <c r="J7" s="26"/>
      <c r="K7" s="17"/>
      <c r="L7" s="49"/>
      <c r="M7" s="5" t="s">
        <v>259</v>
      </c>
      <c r="N7" s="5" t="s">
        <v>57</v>
      </c>
      <c r="O7" s="14" t="s">
        <v>52</v>
      </c>
      <c r="P7" s="14">
        <v>1</v>
      </c>
      <c r="Q7" s="14"/>
    </row>
    <row r="8" spans="1:17">
      <c r="A8" s="10" t="s">
        <v>271</v>
      </c>
      <c r="B8" s="17" t="s">
        <v>200</v>
      </c>
      <c r="C8" s="8" t="s">
        <v>46</v>
      </c>
      <c r="D8" s="8"/>
      <c r="E8" s="8"/>
      <c r="F8" s="20" t="s">
        <v>272</v>
      </c>
      <c r="G8" s="17" t="s">
        <v>273</v>
      </c>
      <c r="H8" s="8"/>
      <c r="I8" s="8" t="s">
        <v>49</v>
      </c>
      <c r="J8" s="26"/>
      <c r="K8" s="17"/>
      <c r="L8" s="49"/>
      <c r="M8" s="5" t="s">
        <v>259</v>
      </c>
      <c r="N8" s="5" t="s">
        <v>71</v>
      </c>
      <c r="O8" s="14" t="s">
        <v>52</v>
      </c>
      <c r="P8" s="14">
        <v>2</v>
      </c>
      <c r="Q8" s="14"/>
    </row>
    <row r="9" spans="1:17">
      <c r="A9" s="10" t="s">
        <v>274</v>
      </c>
      <c r="B9" s="17" t="s">
        <v>200</v>
      </c>
      <c r="C9" s="8" t="s">
        <v>46</v>
      </c>
      <c r="D9" s="8"/>
      <c r="E9" s="8"/>
      <c r="F9" s="20" t="s">
        <v>275</v>
      </c>
      <c r="G9" s="17" t="s">
        <v>276</v>
      </c>
      <c r="H9" s="8"/>
      <c r="I9" s="8" t="s">
        <v>49</v>
      </c>
      <c r="J9" s="26"/>
      <c r="K9" s="17"/>
      <c r="L9" s="49"/>
      <c r="M9" s="5" t="s">
        <v>259</v>
      </c>
      <c r="N9" s="5"/>
      <c r="O9" s="14" t="s">
        <v>52</v>
      </c>
      <c r="P9" s="14">
        <v>2</v>
      </c>
      <c r="Q9" s="14"/>
    </row>
    <row r="10" spans="1:17" ht="45.75" customHeight="1">
      <c r="A10" s="10" t="s">
        <v>277</v>
      </c>
      <c r="B10" s="8" t="s">
        <v>200</v>
      </c>
      <c r="C10" s="8" t="s">
        <v>46</v>
      </c>
      <c r="D10" s="8"/>
      <c r="E10" s="8"/>
      <c r="F10" s="20" t="s">
        <v>278</v>
      </c>
      <c r="G10" s="17" t="s">
        <v>91</v>
      </c>
      <c r="H10" s="8" t="s">
        <v>267</v>
      </c>
      <c r="I10" s="8" t="s">
        <v>49</v>
      </c>
      <c r="J10" s="8"/>
      <c r="K10" s="8" t="s">
        <v>279</v>
      </c>
      <c r="L10" s="49"/>
      <c r="M10" s="5" t="s">
        <v>259</v>
      </c>
      <c r="N10" s="5" t="s">
        <v>71</v>
      </c>
      <c r="O10" s="14" t="s">
        <v>52</v>
      </c>
      <c r="P10" s="14">
        <v>2</v>
      </c>
      <c r="Q10" s="14"/>
    </row>
    <row r="11" spans="1:17" ht="45.75" customHeight="1">
      <c r="A11" s="10" t="s">
        <v>280</v>
      </c>
      <c r="B11" s="8" t="s">
        <v>200</v>
      </c>
      <c r="C11" s="8" t="s">
        <v>46</v>
      </c>
      <c r="D11" s="8"/>
      <c r="E11" s="8"/>
      <c r="F11" s="8" t="s">
        <v>281</v>
      </c>
      <c r="G11" s="17" t="s">
        <v>282</v>
      </c>
      <c r="H11" s="8"/>
      <c r="I11" s="8" t="s">
        <v>49</v>
      </c>
      <c r="J11" s="8"/>
      <c r="K11" s="8"/>
      <c r="L11" s="49"/>
      <c r="M11" s="5" t="s">
        <v>259</v>
      </c>
      <c r="N11" s="5" t="s">
        <v>71</v>
      </c>
      <c r="O11" s="14" t="s">
        <v>52</v>
      </c>
      <c r="P11" s="14">
        <v>2</v>
      </c>
      <c r="Q11" s="14"/>
    </row>
    <row r="12" spans="1:17" ht="45.75" customHeight="1">
      <c r="A12" s="10" t="s">
        <v>283</v>
      </c>
      <c r="B12" s="8" t="s">
        <v>200</v>
      </c>
      <c r="C12" s="8" t="s">
        <v>46</v>
      </c>
      <c r="D12" s="8"/>
      <c r="E12" s="8"/>
      <c r="F12" s="8" t="s">
        <v>284</v>
      </c>
      <c r="G12" s="17" t="s">
        <v>282</v>
      </c>
      <c r="H12" s="17"/>
      <c r="I12" s="8" t="s">
        <v>49</v>
      </c>
      <c r="J12" s="51"/>
      <c r="K12" s="25" t="s">
        <v>285</v>
      </c>
      <c r="L12" s="49"/>
      <c r="M12" s="5" t="s">
        <v>259</v>
      </c>
      <c r="N12" s="5" t="s">
        <v>71</v>
      </c>
      <c r="O12" s="14" t="s">
        <v>52</v>
      </c>
      <c r="P12" s="14">
        <v>2</v>
      </c>
      <c r="Q12" s="14"/>
    </row>
    <row r="13" spans="1:17" ht="27.75" customHeight="1">
      <c r="A13" s="10" t="s">
        <v>286</v>
      </c>
      <c r="B13" s="8"/>
      <c r="C13" s="8" t="s">
        <v>46</v>
      </c>
      <c r="D13" s="8"/>
      <c r="E13" s="8"/>
      <c r="F13" s="20">
        <v>0.55000000000000004</v>
      </c>
      <c r="G13" s="8" t="s">
        <v>15</v>
      </c>
      <c r="H13" s="26"/>
      <c r="I13" s="8" t="s">
        <v>49</v>
      </c>
      <c r="J13" s="8"/>
      <c r="K13" s="8" t="s">
        <v>287</v>
      </c>
      <c r="L13" s="49"/>
      <c r="M13" s="5" t="s">
        <v>259</v>
      </c>
      <c r="N13" s="5" t="s">
        <v>51</v>
      </c>
      <c r="O13" s="14" t="s">
        <v>52</v>
      </c>
      <c r="P13" s="14">
        <v>5</v>
      </c>
      <c r="Q13" s="14"/>
    </row>
    <row r="14" spans="1:17" ht="74.25" customHeight="1">
      <c r="A14" s="10" t="s">
        <v>288</v>
      </c>
      <c r="B14" s="8" t="s">
        <v>289</v>
      </c>
      <c r="C14" s="8" t="s">
        <v>46</v>
      </c>
      <c r="D14" s="8"/>
      <c r="E14" s="8"/>
      <c r="F14" s="20" t="s">
        <v>290</v>
      </c>
      <c r="G14" s="8" t="s">
        <v>291</v>
      </c>
      <c r="H14" s="8"/>
      <c r="I14" s="8" t="s">
        <v>49</v>
      </c>
      <c r="K14" s="8"/>
      <c r="L14" s="49"/>
      <c r="M14" s="5" t="s">
        <v>259</v>
      </c>
      <c r="N14" s="5" t="s">
        <v>57</v>
      </c>
      <c r="O14" s="14" t="s">
        <v>52</v>
      </c>
      <c r="P14" s="14">
        <v>2</v>
      </c>
      <c r="Q14" s="14"/>
    </row>
    <row r="15" spans="1:17">
      <c r="A15" s="48" t="s">
        <v>292</v>
      </c>
      <c r="B15" s="8"/>
      <c r="C15" s="8"/>
      <c r="D15" s="8"/>
      <c r="E15" s="8"/>
      <c r="F15" s="8"/>
      <c r="G15" s="8"/>
      <c r="H15" s="8"/>
      <c r="I15" s="8"/>
      <c r="J15" s="8" t="s">
        <v>293</v>
      </c>
      <c r="K15" s="8"/>
      <c r="L15" s="49"/>
      <c r="M15" s="5" t="s">
        <v>259</v>
      </c>
      <c r="N15" s="5"/>
      <c r="O15" s="14"/>
      <c r="P15" s="14"/>
      <c r="Q15" s="14"/>
    </row>
    <row r="16" spans="1:17" ht="65.25" customHeight="1">
      <c r="A16" s="10" t="s">
        <v>294</v>
      </c>
      <c r="B16" s="8" t="s">
        <v>17</v>
      </c>
      <c r="C16" s="8" t="s">
        <v>46</v>
      </c>
      <c r="D16" s="8"/>
      <c r="E16" s="8"/>
      <c r="F16" s="8" t="s">
        <v>295</v>
      </c>
      <c r="G16" s="46" t="s">
        <v>296</v>
      </c>
      <c r="H16" s="8"/>
      <c r="I16" s="8" t="s">
        <v>49</v>
      </c>
      <c r="J16" s="8"/>
      <c r="K16" s="8" t="s">
        <v>297</v>
      </c>
      <c r="L16" s="49"/>
      <c r="M16" s="5" t="s">
        <v>259</v>
      </c>
      <c r="N16" s="5" t="s">
        <v>71</v>
      </c>
      <c r="O16" s="14" t="s">
        <v>52</v>
      </c>
      <c r="P16" s="14">
        <v>3</v>
      </c>
      <c r="Q16" s="14"/>
    </row>
    <row r="17" spans="1:17">
      <c r="A17" s="10" t="s">
        <v>298</v>
      </c>
      <c r="B17" s="17" t="s">
        <v>200</v>
      </c>
      <c r="C17" s="8" t="s">
        <v>46</v>
      </c>
      <c r="D17" s="8"/>
      <c r="E17" s="8"/>
      <c r="F17" s="20" t="s">
        <v>299</v>
      </c>
      <c r="G17" s="17" t="s">
        <v>300</v>
      </c>
      <c r="H17" s="8"/>
      <c r="I17" s="8" t="s">
        <v>49</v>
      </c>
      <c r="J17" s="26" t="s">
        <v>301</v>
      </c>
      <c r="K17" s="17"/>
      <c r="L17" s="49"/>
      <c r="M17" s="5" t="s">
        <v>259</v>
      </c>
      <c r="N17" s="5" t="s">
        <v>71</v>
      </c>
      <c r="O17" s="14" t="s">
        <v>52</v>
      </c>
      <c r="P17" s="14">
        <v>2</v>
      </c>
      <c r="Q17" s="14"/>
    </row>
    <row r="18" spans="1:17" ht="40.5" customHeight="1">
      <c r="A18" s="10" t="s">
        <v>302</v>
      </c>
      <c r="B18" s="8" t="s">
        <v>200</v>
      </c>
      <c r="C18" s="8" t="s">
        <v>46</v>
      </c>
      <c r="D18" s="8"/>
      <c r="E18" s="8"/>
      <c r="F18" s="8" t="s">
        <v>303</v>
      </c>
      <c r="G18" s="17" t="s">
        <v>91</v>
      </c>
      <c r="H18" s="8" t="s">
        <v>267</v>
      </c>
      <c r="I18" s="8" t="s">
        <v>49</v>
      </c>
      <c r="J18" s="8"/>
      <c r="K18" s="8" t="s">
        <v>279</v>
      </c>
      <c r="L18" s="49"/>
      <c r="M18" s="5" t="s">
        <v>259</v>
      </c>
      <c r="N18" s="5" t="s">
        <v>71</v>
      </c>
      <c r="O18" s="14" t="s">
        <v>52</v>
      </c>
      <c r="P18" s="14">
        <v>2</v>
      </c>
      <c r="Q18" s="14"/>
    </row>
    <row r="19" spans="1:17">
      <c r="A19" s="48" t="s">
        <v>304</v>
      </c>
      <c r="B19" s="8"/>
      <c r="C19" s="8"/>
      <c r="D19" s="8"/>
      <c r="E19" s="8"/>
      <c r="F19" s="8"/>
      <c r="G19" s="8"/>
      <c r="H19" s="8"/>
      <c r="I19" s="8"/>
      <c r="J19" s="8" t="s">
        <v>305</v>
      </c>
      <c r="K19" s="8"/>
      <c r="L19" s="49"/>
      <c r="M19" s="5" t="s">
        <v>259</v>
      </c>
      <c r="N19" s="5"/>
      <c r="O19" s="14" t="s">
        <v>52</v>
      </c>
      <c r="P19" s="14"/>
      <c r="Q19" s="14"/>
    </row>
    <row r="20" spans="1:17">
      <c r="A20" s="48" t="s">
        <v>306</v>
      </c>
      <c r="B20" s="8"/>
      <c r="C20" s="8"/>
      <c r="D20" s="8"/>
      <c r="E20" s="8"/>
      <c r="F20" s="8"/>
      <c r="G20" s="8"/>
      <c r="H20" s="8"/>
      <c r="I20" s="8"/>
      <c r="J20" s="8" t="s">
        <v>305</v>
      </c>
      <c r="K20" s="8"/>
      <c r="L20" s="49"/>
      <c r="M20" s="5" t="s">
        <v>259</v>
      </c>
      <c r="N20" s="5"/>
      <c r="O20" s="14" t="s">
        <v>52</v>
      </c>
      <c r="P20" s="14">
        <v>3</v>
      </c>
      <c r="Q20" s="14"/>
    </row>
    <row r="21" spans="1:17" ht="60">
      <c r="A21" s="10" t="s">
        <v>307</v>
      </c>
      <c r="B21" s="17" t="s">
        <v>200</v>
      </c>
      <c r="C21" s="8" t="s">
        <v>46</v>
      </c>
      <c r="D21" s="8"/>
      <c r="E21" s="8"/>
      <c r="F21" s="20" t="s">
        <v>266</v>
      </c>
      <c r="G21" s="17" t="s">
        <v>91</v>
      </c>
      <c r="H21" s="8" t="s">
        <v>267</v>
      </c>
      <c r="I21" s="8" t="s">
        <v>49</v>
      </c>
      <c r="J21" s="8"/>
      <c r="K21" s="17" t="s">
        <v>268</v>
      </c>
      <c r="L21" s="49"/>
      <c r="M21" s="5" t="s">
        <v>259</v>
      </c>
      <c r="N21" s="5" t="s">
        <v>71</v>
      </c>
      <c r="O21" s="14" t="s">
        <v>52</v>
      </c>
      <c r="P21" s="14">
        <v>1</v>
      </c>
      <c r="Q21" s="14"/>
    </row>
    <row r="22" spans="1:17" s="1" customFormat="1" ht="24">
      <c r="A22" s="10" t="s">
        <v>308</v>
      </c>
      <c r="B22" s="8" t="s">
        <v>309</v>
      </c>
      <c r="C22" s="8" t="s">
        <v>46</v>
      </c>
      <c r="D22" s="8"/>
      <c r="E22" s="8"/>
      <c r="F22" s="52">
        <f>F104</f>
        <v>4.666666666666667</v>
      </c>
      <c r="G22" s="8" t="s">
        <v>270</v>
      </c>
      <c r="H22" s="8"/>
      <c r="I22" s="8" t="s">
        <v>49</v>
      </c>
      <c r="K22" s="8" t="s">
        <v>310</v>
      </c>
      <c r="L22" s="49"/>
      <c r="M22" s="5" t="s">
        <v>259</v>
      </c>
      <c r="N22" s="5" t="s">
        <v>71</v>
      </c>
      <c r="O22" s="14" t="s">
        <v>52</v>
      </c>
      <c r="P22" s="14"/>
      <c r="Q22" s="14"/>
    </row>
    <row r="23" spans="1:17" s="1" customFormat="1" ht="12">
      <c r="A23" s="10" t="s">
        <v>311</v>
      </c>
      <c r="B23" s="8"/>
      <c r="C23" s="8" t="s">
        <v>46</v>
      </c>
      <c r="D23" s="8"/>
      <c r="E23" s="8"/>
      <c r="F23" s="52" t="s">
        <v>312</v>
      </c>
      <c r="G23" s="8" t="s">
        <v>313</v>
      </c>
      <c r="H23" s="8"/>
      <c r="I23" s="8" t="s">
        <v>49</v>
      </c>
      <c r="J23" s="4"/>
      <c r="K23" s="8"/>
      <c r="L23" s="49"/>
      <c r="M23" s="5" t="s">
        <v>259</v>
      </c>
      <c r="N23" s="5" t="s">
        <v>140</v>
      </c>
      <c r="O23" s="14" t="s">
        <v>52</v>
      </c>
      <c r="P23" s="14">
        <v>3</v>
      </c>
      <c r="Q23" s="14"/>
    </row>
    <row r="24" spans="1:17" ht="24">
      <c r="A24" s="48" t="s">
        <v>314</v>
      </c>
      <c r="B24" s="8"/>
      <c r="C24" s="8"/>
      <c r="D24" s="8"/>
      <c r="E24" s="8"/>
      <c r="F24" s="8"/>
      <c r="G24" s="8"/>
      <c r="H24" s="8"/>
      <c r="I24" s="8"/>
      <c r="J24" s="26" t="s">
        <v>258</v>
      </c>
      <c r="K24" s="8"/>
      <c r="L24" s="49"/>
      <c r="M24" s="5" t="s">
        <v>259</v>
      </c>
      <c r="N24" s="5"/>
      <c r="O24" s="14" t="s">
        <v>52</v>
      </c>
      <c r="P24" s="14"/>
      <c r="Q24" s="14"/>
    </row>
    <row r="25" spans="1:17" ht="41.25" customHeight="1">
      <c r="A25" s="10" t="s">
        <v>315</v>
      </c>
      <c r="B25" s="17" t="s">
        <v>200</v>
      </c>
      <c r="C25" s="8" t="s">
        <v>46</v>
      </c>
      <c r="D25" s="8"/>
      <c r="E25" s="8"/>
      <c r="F25" s="17" t="s">
        <v>281</v>
      </c>
      <c r="G25" s="17" t="s">
        <v>91</v>
      </c>
      <c r="H25" s="17" t="s">
        <v>267</v>
      </c>
      <c r="I25" s="8" t="s">
        <v>49</v>
      </c>
      <c r="J25" s="17"/>
      <c r="K25" s="17" t="s">
        <v>316</v>
      </c>
      <c r="L25" s="49"/>
      <c r="M25" s="5" t="s">
        <v>259</v>
      </c>
      <c r="N25" s="5" t="s">
        <v>71</v>
      </c>
      <c r="O25" s="14" t="s">
        <v>52</v>
      </c>
      <c r="P25" s="14">
        <v>2</v>
      </c>
      <c r="Q25" s="14"/>
    </row>
    <row r="26" spans="1:17" ht="24">
      <c r="A26" s="10" t="s">
        <v>317</v>
      </c>
      <c r="B26" s="8" t="s">
        <v>200</v>
      </c>
      <c r="C26" s="8" t="s">
        <v>46</v>
      </c>
      <c r="D26" s="8"/>
      <c r="E26" s="8"/>
      <c r="F26" s="8" t="s">
        <v>318</v>
      </c>
      <c r="G26" s="17" t="s">
        <v>319</v>
      </c>
      <c r="H26" s="8" t="s">
        <v>320</v>
      </c>
      <c r="I26" s="8" t="s">
        <v>49</v>
      </c>
      <c r="J26" s="8"/>
      <c r="K26" s="8" t="s">
        <v>279</v>
      </c>
      <c r="L26" s="49"/>
      <c r="M26" s="5" t="s">
        <v>259</v>
      </c>
      <c r="N26" s="5" t="s">
        <v>71</v>
      </c>
      <c r="O26" s="14" t="s">
        <v>52</v>
      </c>
      <c r="P26" s="14"/>
      <c r="Q26" s="14"/>
    </row>
    <row r="27" spans="1:17">
      <c r="A27" s="10" t="s">
        <v>321</v>
      </c>
      <c r="B27" s="8" t="s">
        <v>200</v>
      </c>
      <c r="C27" s="8" t="s">
        <v>46</v>
      </c>
      <c r="D27" s="8"/>
      <c r="E27" s="8"/>
      <c r="F27" s="8" t="s">
        <v>322</v>
      </c>
      <c r="G27" s="8" t="s">
        <v>282</v>
      </c>
      <c r="H27" s="8"/>
      <c r="I27" s="8" t="s">
        <v>49</v>
      </c>
      <c r="J27" s="8"/>
      <c r="K27" s="8"/>
      <c r="L27" s="49"/>
      <c r="M27" s="5" t="s">
        <v>259</v>
      </c>
      <c r="N27" s="5" t="s">
        <v>71</v>
      </c>
      <c r="O27" s="14" t="s">
        <v>52</v>
      </c>
      <c r="P27" s="14"/>
      <c r="Q27" s="14"/>
    </row>
    <row r="28" spans="1:17">
      <c r="A28" s="48" t="s">
        <v>323</v>
      </c>
      <c r="B28" s="8"/>
      <c r="C28" s="8"/>
      <c r="D28" s="8"/>
      <c r="E28" s="8"/>
      <c r="F28" s="8"/>
      <c r="G28" s="8"/>
      <c r="H28" s="8"/>
      <c r="I28" s="8"/>
      <c r="J28" s="8"/>
      <c r="K28" s="8" t="s">
        <v>324</v>
      </c>
      <c r="L28" s="49"/>
      <c r="M28" s="5" t="s">
        <v>259</v>
      </c>
      <c r="N28" s="5"/>
      <c r="O28" s="14" t="s">
        <v>52</v>
      </c>
      <c r="P28" s="14"/>
      <c r="Q28" s="14"/>
    </row>
    <row r="29" spans="1:17">
      <c r="A29" s="48" t="s">
        <v>325</v>
      </c>
      <c r="B29" s="8"/>
      <c r="C29" s="8"/>
      <c r="D29" s="8"/>
      <c r="E29" s="8"/>
      <c r="F29" s="53"/>
      <c r="G29" s="8"/>
      <c r="H29" s="8"/>
      <c r="I29" s="8"/>
      <c r="J29" s="8"/>
      <c r="K29" s="8" t="s">
        <v>324</v>
      </c>
      <c r="L29" s="49"/>
      <c r="M29" s="5" t="s">
        <v>259</v>
      </c>
      <c r="N29" s="5"/>
      <c r="O29" s="14" t="s">
        <v>52</v>
      </c>
      <c r="P29" s="14"/>
      <c r="Q29" s="14"/>
    </row>
    <row r="30" spans="1:17">
      <c r="A30" s="10" t="s">
        <v>326</v>
      </c>
      <c r="B30" s="8" t="s">
        <v>200</v>
      </c>
      <c r="C30" s="8" t="s">
        <v>46</v>
      </c>
      <c r="D30" s="8"/>
      <c r="E30" s="8"/>
      <c r="F30" s="8" t="s">
        <v>327</v>
      </c>
      <c r="G30" s="17" t="s">
        <v>91</v>
      </c>
      <c r="H30" s="8" t="s">
        <v>267</v>
      </c>
      <c r="I30" s="8" t="s">
        <v>49</v>
      </c>
      <c r="J30" s="8"/>
      <c r="K30" s="8" t="s">
        <v>279</v>
      </c>
      <c r="L30" s="49"/>
      <c r="M30" s="5" t="s">
        <v>259</v>
      </c>
      <c r="N30" s="5" t="s">
        <v>71</v>
      </c>
      <c r="O30" s="14" t="s">
        <v>52</v>
      </c>
      <c r="P30" s="14"/>
      <c r="Q30" s="14"/>
    </row>
    <row r="31" spans="1:17" ht="24">
      <c r="A31" s="10" t="s">
        <v>328</v>
      </c>
      <c r="B31" s="8" t="s">
        <v>329</v>
      </c>
      <c r="C31" s="8" t="s">
        <v>46</v>
      </c>
      <c r="D31" s="8"/>
      <c r="E31" s="8"/>
      <c r="F31" s="8">
        <v>0.14000000000000001</v>
      </c>
      <c r="G31" s="8" t="s">
        <v>15</v>
      </c>
      <c r="H31" s="8" t="s">
        <v>330</v>
      </c>
      <c r="I31" s="8" t="s">
        <v>49</v>
      </c>
      <c r="J31" s="8"/>
      <c r="K31" s="8"/>
      <c r="L31" s="49"/>
      <c r="M31" s="5" t="s">
        <v>259</v>
      </c>
      <c r="N31" s="5" t="s">
        <v>140</v>
      </c>
      <c r="O31" s="14" t="s">
        <v>52</v>
      </c>
      <c r="P31" s="14">
        <v>3</v>
      </c>
      <c r="Q31" s="14"/>
    </row>
    <row r="32" spans="1:17" s="1" customFormat="1" ht="36">
      <c r="A32" s="10" t="s">
        <v>331</v>
      </c>
      <c r="B32" s="8" t="s">
        <v>332</v>
      </c>
      <c r="C32" s="8" t="s">
        <v>46</v>
      </c>
      <c r="D32" s="8"/>
      <c r="E32" s="8"/>
      <c r="F32" s="8">
        <v>0.24</v>
      </c>
      <c r="G32" s="8" t="s">
        <v>15</v>
      </c>
      <c r="H32" s="8" t="s">
        <v>333</v>
      </c>
      <c r="I32" s="8" t="s">
        <v>49</v>
      </c>
      <c r="J32" s="8" t="s">
        <v>334</v>
      </c>
      <c r="L32" s="49"/>
      <c r="M32" s="5" t="s">
        <v>259</v>
      </c>
      <c r="N32" s="5" t="s">
        <v>140</v>
      </c>
      <c r="O32" s="14" t="s">
        <v>52</v>
      </c>
      <c r="P32" s="14">
        <v>3</v>
      </c>
      <c r="Q32" s="14"/>
    </row>
    <row r="33" spans="1:17" ht="24">
      <c r="A33" s="10" t="s">
        <v>335</v>
      </c>
      <c r="B33" s="8" t="s">
        <v>200</v>
      </c>
      <c r="C33" s="8" t="s">
        <v>46</v>
      </c>
      <c r="D33" s="8"/>
      <c r="E33" s="8"/>
      <c r="F33" s="8" t="s">
        <v>336</v>
      </c>
      <c r="G33" s="8" t="s">
        <v>337</v>
      </c>
      <c r="H33" s="8"/>
      <c r="I33" s="8" t="s">
        <v>49</v>
      </c>
      <c r="J33" s="8" t="s">
        <v>338</v>
      </c>
      <c r="K33" s="8" t="s">
        <v>339</v>
      </c>
      <c r="L33" s="49"/>
      <c r="M33" s="5" t="s">
        <v>259</v>
      </c>
      <c r="N33" s="5" t="s">
        <v>71</v>
      </c>
      <c r="O33" s="14" t="s">
        <v>52</v>
      </c>
      <c r="P33" s="14"/>
      <c r="Q33" s="14"/>
    </row>
    <row r="34" spans="1:17" ht="24" customHeight="1">
      <c r="A34" s="10" t="s">
        <v>340</v>
      </c>
      <c r="B34" s="8" t="s">
        <v>329</v>
      </c>
      <c r="C34" s="8" t="s">
        <v>46</v>
      </c>
      <c r="D34" s="8"/>
      <c r="E34" s="8"/>
      <c r="F34" s="52">
        <v>1</v>
      </c>
      <c r="G34" s="8" t="s">
        <v>15</v>
      </c>
      <c r="H34" s="8" t="s">
        <v>341</v>
      </c>
      <c r="I34" s="8" t="s">
        <v>49</v>
      </c>
      <c r="J34" s="8"/>
      <c r="K34" s="8" t="s">
        <v>342</v>
      </c>
      <c r="L34" s="49"/>
      <c r="M34" s="5" t="s">
        <v>259</v>
      </c>
      <c r="N34" s="5" t="s">
        <v>71</v>
      </c>
      <c r="O34" s="14" t="s">
        <v>52</v>
      </c>
      <c r="P34" s="14">
        <v>3</v>
      </c>
      <c r="Q34" s="14"/>
    </row>
    <row r="35" spans="1:17" ht="44.25" customHeight="1">
      <c r="A35" s="10" t="s">
        <v>343</v>
      </c>
      <c r="B35" s="8" t="s">
        <v>200</v>
      </c>
      <c r="C35" s="8" t="s">
        <v>46</v>
      </c>
      <c r="D35" s="8"/>
      <c r="E35" s="8"/>
      <c r="F35" s="20" t="s">
        <v>344</v>
      </c>
      <c r="G35" s="17" t="s">
        <v>91</v>
      </c>
      <c r="H35" s="8" t="s">
        <v>267</v>
      </c>
      <c r="I35" s="8" t="s">
        <v>49</v>
      </c>
      <c r="J35" s="8"/>
      <c r="K35" s="8" t="s">
        <v>279</v>
      </c>
      <c r="L35" s="49"/>
      <c r="M35" s="5" t="s">
        <v>259</v>
      </c>
      <c r="N35" s="5" t="s">
        <v>71</v>
      </c>
      <c r="O35" s="14" t="s">
        <v>52</v>
      </c>
      <c r="P35" s="14">
        <v>2</v>
      </c>
      <c r="Q35" s="14"/>
    </row>
    <row r="36" spans="1:17" ht="44.25" customHeight="1">
      <c r="A36" s="10" t="s">
        <v>345</v>
      </c>
      <c r="B36" s="8" t="s">
        <v>200</v>
      </c>
      <c r="C36" s="8" t="s">
        <v>46</v>
      </c>
      <c r="D36" s="8"/>
      <c r="E36" s="8"/>
      <c r="F36" s="8" t="s">
        <v>344</v>
      </c>
      <c r="G36" s="17" t="s">
        <v>346</v>
      </c>
      <c r="H36" s="17" t="s">
        <v>347</v>
      </c>
      <c r="I36" s="8" t="s">
        <v>49</v>
      </c>
      <c r="J36" s="51"/>
      <c r="K36" s="25" t="s">
        <v>348</v>
      </c>
      <c r="L36" s="49"/>
      <c r="M36" s="5" t="s">
        <v>259</v>
      </c>
      <c r="N36" s="5" t="s">
        <v>71</v>
      </c>
      <c r="O36" s="14" t="s">
        <v>52</v>
      </c>
      <c r="P36" s="14">
        <v>2</v>
      </c>
      <c r="Q36" s="14"/>
    </row>
    <row r="37" spans="1:17" ht="44.25" customHeight="1">
      <c r="A37" s="10" t="s">
        <v>349</v>
      </c>
      <c r="B37" s="8" t="s">
        <v>200</v>
      </c>
      <c r="C37" s="8" t="s">
        <v>46</v>
      </c>
      <c r="D37" s="8"/>
      <c r="E37" s="8"/>
      <c r="F37" s="8" t="s">
        <v>327</v>
      </c>
      <c r="G37" s="17" t="s">
        <v>282</v>
      </c>
      <c r="H37" s="8"/>
      <c r="I37" s="8" t="s">
        <v>49</v>
      </c>
      <c r="J37" s="8"/>
      <c r="K37" s="8"/>
      <c r="L37" s="49"/>
      <c r="M37" s="5" t="s">
        <v>259</v>
      </c>
      <c r="N37" s="5" t="s">
        <v>71</v>
      </c>
      <c r="O37" s="14" t="s">
        <v>52</v>
      </c>
      <c r="P37" s="14">
        <v>2</v>
      </c>
      <c r="Q37" s="14"/>
    </row>
    <row r="38" spans="1:17" ht="44.25" customHeight="1">
      <c r="A38" s="10" t="s">
        <v>350</v>
      </c>
      <c r="B38" s="8" t="s">
        <v>14</v>
      </c>
      <c r="C38" s="8" t="s">
        <v>46</v>
      </c>
      <c r="D38" s="8"/>
      <c r="E38" s="8"/>
      <c r="F38" s="22" t="s">
        <v>351</v>
      </c>
      <c r="G38" s="8" t="s">
        <v>15</v>
      </c>
      <c r="H38" s="8"/>
      <c r="I38" s="8" t="s">
        <v>49</v>
      </c>
      <c r="J38" s="8" t="s">
        <v>352</v>
      </c>
      <c r="K38" s="8"/>
      <c r="L38" s="49"/>
      <c r="M38" s="5" t="s">
        <v>259</v>
      </c>
      <c r="N38" s="5" t="s">
        <v>71</v>
      </c>
      <c r="O38" s="14" t="s">
        <v>52</v>
      </c>
      <c r="P38" s="14"/>
      <c r="Q38" s="14"/>
    </row>
    <row r="39" spans="1:17" ht="24">
      <c r="A39" s="28" t="s">
        <v>353</v>
      </c>
      <c r="B39" s="3" t="s">
        <v>1</v>
      </c>
      <c r="C39" s="9" t="s">
        <v>31</v>
      </c>
      <c r="D39" s="9" t="s">
        <v>32</v>
      </c>
      <c r="E39" s="9" t="s">
        <v>33</v>
      </c>
      <c r="F39" s="9" t="s">
        <v>124</v>
      </c>
      <c r="G39" s="29" t="s">
        <v>125</v>
      </c>
      <c r="H39" s="29" t="s">
        <v>126</v>
      </c>
      <c r="I39" s="9" t="s">
        <v>36</v>
      </c>
      <c r="J39" s="3" t="s">
        <v>37</v>
      </c>
      <c r="K39" s="3" t="s">
        <v>38</v>
      </c>
      <c r="L39" s="29" t="s">
        <v>39</v>
      </c>
      <c r="M39" s="9" t="s">
        <v>40</v>
      </c>
      <c r="N39" s="9" t="s">
        <v>41</v>
      </c>
      <c r="O39" s="9" t="s">
        <v>42</v>
      </c>
      <c r="P39" s="9" t="s">
        <v>43</v>
      </c>
      <c r="Q39" s="9" t="s">
        <v>1194</v>
      </c>
    </row>
    <row r="40" spans="1:17" ht="24.75">
      <c r="A40" s="10" t="s">
        <v>354</v>
      </c>
      <c r="B40" s="17" t="s">
        <v>17</v>
      </c>
      <c r="C40" s="8" t="s">
        <v>46</v>
      </c>
      <c r="D40" s="8">
        <v>0.05</v>
      </c>
      <c r="E40" s="8">
        <v>0.05</v>
      </c>
      <c r="F40" s="52">
        <f>Patient!C7*IF(Patient!C2="Male",D40,E40)</f>
        <v>275.48273332896093</v>
      </c>
      <c r="G40" s="17" t="s">
        <v>270</v>
      </c>
      <c r="H40" s="17"/>
      <c r="I40" s="17" t="s">
        <v>49</v>
      </c>
      <c r="J40" s="51"/>
      <c r="K40" s="47" t="s">
        <v>355</v>
      </c>
      <c r="L40" s="49"/>
      <c r="M40" s="5" t="s">
        <v>356</v>
      </c>
      <c r="N40" s="5" t="s">
        <v>71</v>
      </c>
      <c r="O40" s="14" t="s">
        <v>357</v>
      </c>
      <c r="P40" s="14"/>
      <c r="Q40" s="14"/>
    </row>
    <row r="41" spans="1:17" ht="36.75">
      <c r="A41" s="10" t="s">
        <v>358</v>
      </c>
      <c r="B41" s="17" t="s">
        <v>309</v>
      </c>
      <c r="C41" s="8" t="s">
        <v>46</v>
      </c>
      <c r="D41" s="8">
        <v>1</v>
      </c>
      <c r="E41" s="8">
        <v>1</v>
      </c>
      <c r="F41" s="52">
        <f>Patient!C6*IF(Patient!C2="Male",D41,E41)/60</f>
        <v>93.333333333333329</v>
      </c>
      <c r="G41" s="17" t="s">
        <v>270</v>
      </c>
      <c r="H41" s="17"/>
      <c r="I41" s="17" t="s">
        <v>49</v>
      </c>
      <c r="J41" s="51"/>
      <c r="K41" s="25" t="s">
        <v>359</v>
      </c>
      <c r="L41" s="49"/>
      <c r="M41" s="5" t="s">
        <v>356</v>
      </c>
      <c r="N41" s="5" t="s">
        <v>71</v>
      </c>
      <c r="O41" s="14" t="s">
        <v>357</v>
      </c>
      <c r="P41" s="14"/>
      <c r="Q41" s="14"/>
    </row>
    <row r="42" spans="1:17">
      <c r="A42" s="10" t="s">
        <v>360</v>
      </c>
      <c r="B42" s="17" t="s">
        <v>17</v>
      </c>
      <c r="C42" s="8" t="s">
        <v>46</v>
      </c>
      <c r="D42" s="8">
        <v>1.2E-2</v>
      </c>
      <c r="E42" s="8">
        <v>1.2E-2</v>
      </c>
      <c r="F42" s="52">
        <f>Patient!C7*IF(Patient!C2="Male",D42,E42)</f>
        <v>66.115855998950622</v>
      </c>
      <c r="G42" s="17" t="s">
        <v>270</v>
      </c>
      <c r="H42" s="17"/>
      <c r="I42" s="17" t="s">
        <v>49</v>
      </c>
      <c r="J42" s="17"/>
      <c r="K42" s="25"/>
      <c r="L42" s="49"/>
      <c r="M42" s="5" t="s">
        <v>356</v>
      </c>
      <c r="N42" s="5" t="s">
        <v>71</v>
      </c>
      <c r="O42" s="14" t="s">
        <v>357</v>
      </c>
      <c r="P42" s="14"/>
      <c r="Q42" s="14"/>
    </row>
    <row r="43" spans="1:17">
      <c r="A43" s="10" t="s">
        <v>361</v>
      </c>
      <c r="B43" s="17" t="s">
        <v>309</v>
      </c>
      <c r="C43" s="8" t="s">
        <v>46</v>
      </c>
      <c r="D43" s="8">
        <v>0.12</v>
      </c>
      <c r="E43" s="8">
        <v>0.12</v>
      </c>
      <c r="F43" s="52">
        <f>Patient!C6*IF(Patient!C2="Male",D43,E43)/60</f>
        <v>11.2</v>
      </c>
      <c r="G43" s="17" t="s">
        <v>270</v>
      </c>
      <c r="H43" s="17"/>
      <c r="I43" s="17" t="s">
        <v>49</v>
      </c>
      <c r="J43" s="17"/>
      <c r="K43" s="25"/>
      <c r="L43" s="49"/>
      <c r="M43" s="5" t="s">
        <v>356</v>
      </c>
      <c r="N43" s="5" t="s">
        <v>71</v>
      </c>
      <c r="O43" s="14" t="s">
        <v>357</v>
      </c>
      <c r="P43" s="14"/>
      <c r="Q43" s="14"/>
    </row>
    <row r="44" spans="1:17">
      <c r="A44" s="10" t="s">
        <v>362</v>
      </c>
      <c r="B44" s="17" t="s">
        <v>200</v>
      </c>
      <c r="C44" s="8" t="s">
        <v>46</v>
      </c>
      <c r="D44" s="8"/>
      <c r="E44" s="8"/>
      <c r="F44" s="20">
        <v>40</v>
      </c>
      <c r="G44" s="17" t="s">
        <v>363</v>
      </c>
      <c r="H44" s="17">
        <v>409</v>
      </c>
      <c r="I44" s="17" t="s">
        <v>49</v>
      </c>
      <c r="J44" s="17"/>
      <c r="K44" s="54"/>
      <c r="L44" s="49"/>
      <c r="M44" s="5" t="s">
        <v>356</v>
      </c>
      <c r="N44" s="5" t="s">
        <v>71</v>
      </c>
      <c r="O44" s="14" t="s">
        <v>357</v>
      </c>
      <c r="P44" s="14">
        <v>2</v>
      </c>
      <c r="Q44" s="14"/>
    </row>
    <row r="45" spans="1:17">
      <c r="A45" s="10" t="s">
        <v>364</v>
      </c>
      <c r="B45" s="17" t="s">
        <v>17</v>
      </c>
      <c r="C45" s="8" t="s">
        <v>46</v>
      </c>
      <c r="D45" s="8">
        <v>7.0000000000000007E-2</v>
      </c>
      <c r="E45" s="8">
        <v>7.0000000000000007E-2</v>
      </c>
      <c r="F45" s="50">
        <f>Patient!C7*IF(Patient!C2="Male",D45,E45)</f>
        <v>385.67582666054534</v>
      </c>
      <c r="G45" s="17" t="s">
        <v>270</v>
      </c>
      <c r="H45" s="17"/>
      <c r="I45" s="17" t="s">
        <v>49</v>
      </c>
      <c r="J45" s="17"/>
      <c r="K45" s="47" t="s">
        <v>365</v>
      </c>
      <c r="L45" s="49"/>
      <c r="M45" s="5" t="s">
        <v>356</v>
      </c>
      <c r="N45" s="5" t="s">
        <v>71</v>
      </c>
      <c r="O45" s="14" t="s">
        <v>357</v>
      </c>
      <c r="P45" s="14"/>
      <c r="Q45" s="14"/>
    </row>
    <row r="46" spans="1:17">
      <c r="A46" s="10" t="s">
        <v>366</v>
      </c>
      <c r="B46" s="17" t="s">
        <v>309</v>
      </c>
      <c r="C46" s="8" t="s">
        <v>46</v>
      </c>
      <c r="D46" s="8">
        <v>0.05</v>
      </c>
      <c r="E46" s="8">
        <v>0.05</v>
      </c>
      <c r="F46" s="50">
        <f>Patient!C6*IF(Patient!C2="Male",D46,E46)/60</f>
        <v>4.666666666666667</v>
      </c>
      <c r="G46" s="17" t="s">
        <v>270</v>
      </c>
      <c r="H46" s="17"/>
      <c r="I46" s="17" t="s">
        <v>49</v>
      </c>
      <c r="J46" s="17"/>
      <c r="K46" s="25"/>
      <c r="L46" s="49"/>
      <c r="M46" s="5" t="s">
        <v>356</v>
      </c>
      <c r="N46" s="5" t="s">
        <v>71</v>
      </c>
      <c r="O46" s="14" t="s">
        <v>357</v>
      </c>
      <c r="P46" s="14"/>
      <c r="Q46" s="14"/>
    </row>
    <row r="47" spans="1:17">
      <c r="A47" s="10" t="s">
        <v>367</v>
      </c>
      <c r="B47" s="17" t="s">
        <v>17</v>
      </c>
      <c r="C47" s="8" t="s">
        <v>46</v>
      </c>
      <c r="D47" s="8">
        <v>0.05</v>
      </c>
      <c r="E47" s="8">
        <v>8.5000000000000006E-2</v>
      </c>
      <c r="F47" s="50">
        <f>Patient!C7*IF(Patient!C2="Male",D47,E47)</f>
        <v>275.48273332896093</v>
      </c>
      <c r="G47" s="17" t="s">
        <v>270</v>
      </c>
      <c r="H47" s="8"/>
      <c r="I47" s="17" t="s">
        <v>49</v>
      </c>
      <c r="J47" s="8"/>
      <c r="K47" s="25"/>
      <c r="L47" s="49"/>
      <c r="M47" s="5" t="s">
        <v>356</v>
      </c>
      <c r="N47" s="5" t="s">
        <v>71</v>
      </c>
      <c r="O47" s="14" t="s">
        <v>357</v>
      </c>
      <c r="P47" s="14"/>
      <c r="Q47" s="14"/>
    </row>
    <row r="48" spans="1:17">
      <c r="A48" s="10" t="s">
        <v>368</v>
      </c>
      <c r="B48" s="17" t="s">
        <v>309</v>
      </c>
      <c r="C48" s="8" t="s">
        <v>46</v>
      </c>
      <c r="D48" s="8">
        <v>0.05</v>
      </c>
      <c r="E48" s="8">
        <v>8.5000000000000006E-2</v>
      </c>
      <c r="F48" s="50">
        <f>Patient!C6*IF(Patient!C2="Male",D48,E48)/60</f>
        <v>4.666666666666667</v>
      </c>
      <c r="G48" s="17" t="s">
        <v>270</v>
      </c>
      <c r="H48" s="17"/>
      <c r="I48" s="17" t="s">
        <v>49</v>
      </c>
      <c r="J48" s="17"/>
      <c r="K48" s="25"/>
      <c r="L48" s="49"/>
      <c r="M48" s="5" t="s">
        <v>356</v>
      </c>
      <c r="N48" s="5" t="s">
        <v>71</v>
      </c>
      <c r="O48" s="14" t="s">
        <v>357</v>
      </c>
      <c r="P48" s="14"/>
      <c r="Q48" s="14"/>
    </row>
    <row r="49" spans="1:17">
      <c r="A49" s="10" t="s">
        <v>369</v>
      </c>
      <c r="B49" s="17" t="s">
        <v>17</v>
      </c>
      <c r="C49" s="8" t="s">
        <v>46</v>
      </c>
      <c r="D49" s="8">
        <v>0.02</v>
      </c>
      <c r="E49" s="8">
        <v>0.02</v>
      </c>
      <c r="F49" s="50">
        <f>Patient!C7*IF(Patient!C2="Male",D49,E49)</f>
        <v>110.19309333158436</v>
      </c>
      <c r="G49" s="17" t="s">
        <v>270</v>
      </c>
      <c r="H49" s="55"/>
      <c r="I49" s="17" t="s">
        <v>49</v>
      </c>
      <c r="J49" s="55"/>
      <c r="K49" s="25"/>
      <c r="L49" s="49"/>
      <c r="M49" s="5" t="s">
        <v>356</v>
      </c>
      <c r="N49" s="5" t="s">
        <v>71</v>
      </c>
      <c r="O49" s="14" t="s">
        <v>357</v>
      </c>
      <c r="P49" s="14"/>
      <c r="Q49" s="14"/>
    </row>
    <row r="50" spans="1:17">
      <c r="A50" s="10" t="s">
        <v>370</v>
      </c>
      <c r="B50" s="17" t="s">
        <v>309</v>
      </c>
      <c r="C50" s="8" t="s">
        <v>46</v>
      </c>
      <c r="D50" s="8">
        <v>0.19</v>
      </c>
      <c r="E50" s="8">
        <v>0.17</v>
      </c>
      <c r="F50" s="50">
        <f>Patient!C6*IF(Patient!C2="Male",D50,E50)/60</f>
        <v>17.733333333333334</v>
      </c>
      <c r="G50" s="17" t="s">
        <v>270</v>
      </c>
      <c r="H50" s="17"/>
      <c r="I50" s="17" t="s">
        <v>49</v>
      </c>
      <c r="J50" s="17"/>
      <c r="K50" s="25"/>
      <c r="L50" s="49"/>
      <c r="M50" s="5" t="s">
        <v>356</v>
      </c>
      <c r="N50" s="5" t="s">
        <v>71</v>
      </c>
      <c r="O50" s="14" t="s">
        <v>357</v>
      </c>
      <c r="P50" s="14"/>
      <c r="Q50" s="14"/>
    </row>
    <row r="51" spans="1:17" ht="24.75">
      <c r="A51" s="10" t="s">
        <v>371</v>
      </c>
      <c r="B51" s="17" t="s">
        <v>17</v>
      </c>
      <c r="C51" s="8" t="s">
        <v>46</v>
      </c>
      <c r="D51" s="8">
        <v>2.1999999999999999E-2</v>
      </c>
      <c r="E51" s="8">
        <v>2.1999999999999999E-2</v>
      </c>
      <c r="F51" s="50">
        <f>Patient!C7*IF(Patient!C2="Male",D51,E51)</f>
        <v>121.2124026647428</v>
      </c>
      <c r="G51" s="17" t="s">
        <v>270</v>
      </c>
      <c r="H51" s="17"/>
      <c r="I51" s="17" t="s">
        <v>49</v>
      </c>
      <c r="J51" s="17"/>
      <c r="K51" s="47" t="s">
        <v>372</v>
      </c>
      <c r="L51" s="49"/>
      <c r="M51" s="5" t="s">
        <v>356</v>
      </c>
      <c r="N51" s="5" t="s">
        <v>71</v>
      </c>
      <c r="O51" s="14" t="s">
        <v>357</v>
      </c>
      <c r="P51" s="14"/>
      <c r="Q51" s="14"/>
    </row>
    <row r="52" spans="1:17">
      <c r="A52" s="10" t="s">
        <v>373</v>
      </c>
      <c r="B52" s="17" t="s">
        <v>309</v>
      </c>
      <c r="C52" s="8" t="s">
        <v>46</v>
      </c>
      <c r="D52" s="8">
        <v>0.04</v>
      </c>
      <c r="E52" s="8">
        <v>0.05</v>
      </c>
      <c r="F52" s="50">
        <f>Patient!C6*IF(Patient!C2="Male",D52,E52)/60</f>
        <v>3.7333333333333334</v>
      </c>
      <c r="G52" s="17" t="s">
        <v>270</v>
      </c>
      <c r="H52" s="17"/>
      <c r="I52" s="17" t="s">
        <v>49</v>
      </c>
      <c r="J52" s="17"/>
      <c r="K52" s="25"/>
      <c r="L52" s="49"/>
      <c r="M52" s="5" t="s">
        <v>356</v>
      </c>
      <c r="N52" s="5" t="s">
        <v>71</v>
      </c>
      <c r="O52" s="14" t="s">
        <v>357</v>
      </c>
      <c r="P52" s="14"/>
      <c r="Q52" s="14"/>
    </row>
    <row r="53" spans="1:17" ht="36.75">
      <c r="A53" s="10" t="s">
        <v>374</v>
      </c>
      <c r="B53" s="17" t="s">
        <v>17</v>
      </c>
      <c r="C53" s="8" t="s">
        <v>46</v>
      </c>
      <c r="D53" s="8">
        <v>0.02</v>
      </c>
      <c r="E53" s="8">
        <v>0.02</v>
      </c>
      <c r="F53" s="52">
        <f>Patient!C7*IF(Patient!C2="Male",D53,E53)</f>
        <v>110.19309333158436</v>
      </c>
      <c r="G53" s="17" t="s">
        <v>270</v>
      </c>
      <c r="H53" s="17"/>
      <c r="I53" s="17" t="s">
        <v>49</v>
      </c>
      <c r="J53" s="51"/>
      <c r="K53" s="47" t="s">
        <v>375</v>
      </c>
      <c r="L53" s="49"/>
      <c r="M53" s="5" t="s">
        <v>356</v>
      </c>
      <c r="N53" s="5" t="s">
        <v>71</v>
      </c>
      <c r="O53" s="14" t="s">
        <v>357</v>
      </c>
      <c r="P53" s="14"/>
      <c r="Q53" s="14"/>
    </row>
    <row r="54" spans="1:17">
      <c r="A54" s="10" t="s">
        <v>376</v>
      </c>
      <c r="B54" s="17" t="s">
        <v>309</v>
      </c>
      <c r="C54" s="8" t="s">
        <v>46</v>
      </c>
      <c r="D54" s="8">
        <v>1.4999999999999999E-2</v>
      </c>
      <c r="E54" s="8">
        <v>1.4999999999999999E-2</v>
      </c>
      <c r="F54" s="52">
        <f>Patient!C6*IF(Patient!C2="Male",D54,E54)/60</f>
        <v>1.4</v>
      </c>
      <c r="G54" s="17" t="s">
        <v>270</v>
      </c>
      <c r="H54" s="17"/>
      <c r="I54" s="17" t="s">
        <v>49</v>
      </c>
      <c r="J54" s="51"/>
      <c r="K54" s="47" t="s">
        <v>377</v>
      </c>
      <c r="L54" s="49"/>
      <c r="M54" s="5" t="s">
        <v>356</v>
      </c>
      <c r="N54" s="5"/>
      <c r="O54" s="14" t="s">
        <v>357</v>
      </c>
      <c r="P54" s="14"/>
      <c r="Q54" s="14"/>
    </row>
    <row r="55" spans="1:17">
      <c r="A55" s="10" t="s">
        <v>378</v>
      </c>
      <c r="B55" s="17" t="s">
        <v>17</v>
      </c>
      <c r="C55" s="20" t="s">
        <v>379</v>
      </c>
      <c r="D55" s="20"/>
      <c r="E55" s="20"/>
      <c r="F55" s="8" t="s">
        <v>380</v>
      </c>
      <c r="G55" s="17" t="s">
        <v>381</v>
      </c>
      <c r="H55" s="17"/>
      <c r="I55" s="17" t="s">
        <v>49</v>
      </c>
      <c r="J55" s="51"/>
      <c r="K55" s="25"/>
      <c r="L55" s="49"/>
      <c r="M55" s="5" t="s">
        <v>356</v>
      </c>
      <c r="N55" s="5" t="s">
        <v>71</v>
      </c>
      <c r="O55" s="14" t="s">
        <v>357</v>
      </c>
      <c r="P55" s="14">
        <v>6</v>
      </c>
      <c r="Q55" s="14"/>
    </row>
    <row r="56" spans="1:17">
      <c r="A56" s="10" t="s">
        <v>378</v>
      </c>
      <c r="B56" s="17" t="s">
        <v>17</v>
      </c>
      <c r="C56" s="20" t="s">
        <v>382</v>
      </c>
      <c r="D56" s="20"/>
      <c r="E56" s="20"/>
      <c r="F56" s="8" t="s">
        <v>383</v>
      </c>
      <c r="G56" s="17" t="s">
        <v>381</v>
      </c>
      <c r="H56" s="17"/>
      <c r="I56" s="17" t="s">
        <v>49</v>
      </c>
      <c r="J56" s="51"/>
      <c r="K56" s="25"/>
      <c r="L56" s="49"/>
      <c r="M56" s="5" t="s">
        <v>356</v>
      </c>
      <c r="N56" s="5" t="s">
        <v>71</v>
      </c>
      <c r="O56" s="14" t="s">
        <v>357</v>
      </c>
      <c r="P56" s="14">
        <v>6</v>
      </c>
      <c r="Q56" s="14"/>
    </row>
    <row r="57" spans="1:17">
      <c r="A57" s="10" t="s">
        <v>384</v>
      </c>
      <c r="B57" s="17" t="s">
        <v>200</v>
      </c>
      <c r="C57" s="20" t="s">
        <v>379</v>
      </c>
      <c r="D57" s="20"/>
      <c r="E57" s="20"/>
      <c r="F57" s="8" t="s">
        <v>281</v>
      </c>
      <c r="G57" s="17" t="s">
        <v>282</v>
      </c>
      <c r="H57" s="17"/>
      <c r="I57" s="17" t="s">
        <v>49</v>
      </c>
      <c r="J57" s="51"/>
      <c r="K57" s="25"/>
      <c r="L57" s="49"/>
      <c r="M57" s="5" t="s">
        <v>356</v>
      </c>
      <c r="N57" s="5" t="s">
        <v>71</v>
      </c>
      <c r="O57" s="14" t="s">
        <v>357</v>
      </c>
      <c r="P57" s="14">
        <v>6</v>
      </c>
      <c r="Q57" s="14"/>
    </row>
    <row r="58" spans="1:17" ht="48.75">
      <c r="A58" s="10" t="s">
        <v>384</v>
      </c>
      <c r="B58" s="17" t="s">
        <v>200</v>
      </c>
      <c r="C58" s="20" t="s">
        <v>382</v>
      </c>
      <c r="D58" s="20"/>
      <c r="E58" s="20"/>
      <c r="F58" s="8" t="s">
        <v>344</v>
      </c>
      <c r="G58" s="17" t="s">
        <v>346</v>
      </c>
      <c r="H58" s="17" t="s">
        <v>347</v>
      </c>
      <c r="I58" s="17" t="s">
        <v>49</v>
      </c>
      <c r="J58" s="51"/>
      <c r="K58" s="25" t="s">
        <v>348</v>
      </c>
      <c r="L58" s="49"/>
      <c r="M58" s="5" t="s">
        <v>356</v>
      </c>
      <c r="N58" s="5" t="s">
        <v>71</v>
      </c>
      <c r="O58" s="14" t="s">
        <v>357</v>
      </c>
      <c r="P58" s="14">
        <v>6</v>
      </c>
      <c r="Q58" s="14"/>
    </row>
    <row r="59" spans="1:17">
      <c r="A59" s="10" t="s">
        <v>385</v>
      </c>
      <c r="B59" s="17" t="s">
        <v>309</v>
      </c>
      <c r="C59" s="8" t="s">
        <v>46</v>
      </c>
      <c r="D59" s="8">
        <v>1</v>
      </c>
      <c r="E59" s="8">
        <v>1</v>
      </c>
      <c r="F59" s="8">
        <v>94.7</v>
      </c>
      <c r="G59" s="17" t="s">
        <v>270</v>
      </c>
      <c r="H59" s="17"/>
      <c r="I59" s="17" t="s">
        <v>49</v>
      </c>
      <c r="J59" s="51"/>
      <c r="K59" s="25"/>
      <c r="L59" s="49"/>
      <c r="M59" s="5" t="s">
        <v>356</v>
      </c>
      <c r="N59" s="5" t="s">
        <v>71</v>
      </c>
      <c r="O59" s="14" t="s">
        <v>357</v>
      </c>
      <c r="P59" s="14"/>
      <c r="Q59" s="14"/>
    </row>
    <row r="60" spans="1:17" ht="24.75">
      <c r="A60" s="10" t="s">
        <v>386</v>
      </c>
      <c r="B60" s="17" t="s">
        <v>17</v>
      </c>
      <c r="C60" s="8" t="s">
        <v>46</v>
      </c>
      <c r="D60" s="8"/>
      <c r="E60" s="8"/>
      <c r="F60" s="7">
        <f>F49*0.5</f>
        <v>55.096546665792182</v>
      </c>
      <c r="G60" s="17" t="s">
        <v>270</v>
      </c>
      <c r="H60" s="17"/>
      <c r="I60" s="17" t="s">
        <v>49</v>
      </c>
      <c r="J60" s="51"/>
      <c r="K60" s="47" t="s">
        <v>387</v>
      </c>
      <c r="L60" s="49"/>
      <c r="M60" s="5" t="s">
        <v>356</v>
      </c>
      <c r="N60" s="5" t="s">
        <v>71</v>
      </c>
      <c r="O60" s="14" t="s">
        <v>357</v>
      </c>
      <c r="P60" s="14"/>
      <c r="Q60" s="14"/>
    </row>
    <row r="61" spans="1:17" ht="24.75">
      <c r="A61" s="10" t="s">
        <v>388</v>
      </c>
      <c r="B61" s="17" t="s">
        <v>309</v>
      </c>
      <c r="C61" s="8" t="s">
        <v>46</v>
      </c>
      <c r="D61" s="8"/>
      <c r="E61" s="8"/>
      <c r="F61" s="50">
        <f>F50*0.5</f>
        <v>8.8666666666666671</v>
      </c>
      <c r="G61" s="17" t="s">
        <v>270</v>
      </c>
      <c r="H61" s="17"/>
      <c r="I61" s="17" t="s">
        <v>49</v>
      </c>
      <c r="J61" s="51"/>
      <c r="K61" s="25" t="s">
        <v>389</v>
      </c>
      <c r="L61" s="49"/>
      <c r="M61" s="5" t="s">
        <v>356</v>
      </c>
      <c r="N61" s="5" t="s">
        <v>71</v>
      </c>
      <c r="O61" s="14" t="s">
        <v>357</v>
      </c>
      <c r="P61" s="14"/>
      <c r="Q61" s="14"/>
    </row>
    <row r="62" spans="1:17" ht="36.75">
      <c r="A62" s="10" t="s">
        <v>390</v>
      </c>
      <c r="B62" s="17" t="s">
        <v>17</v>
      </c>
      <c r="C62" s="8" t="s">
        <v>46</v>
      </c>
      <c r="D62" s="8">
        <v>0.04</v>
      </c>
      <c r="E62" s="8">
        <v>0.04</v>
      </c>
      <c r="F62" s="52">
        <f>Patient!C7*IF(Patient!C2="Male",D62,E62)</f>
        <v>220.38618666316873</v>
      </c>
      <c r="G62" s="17" t="s">
        <v>270</v>
      </c>
      <c r="H62" s="17"/>
      <c r="I62" s="17" t="s">
        <v>49</v>
      </c>
      <c r="J62" s="51"/>
      <c r="K62" s="47" t="s">
        <v>375</v>
      </c>
      <c r="L62" s="49"/>
      <c r="M62" s="5" t="s">
        <v>356</v>
      </c>
      <c r="N62" s="5" t="s">
        <v>71</v>
      </c>
      <c r="O62" s="14" t="s">
        <v>357</v>
      </c>
      <c r="P62" s="14"/>
      <c r="Q62" s="14"/>
    </row>
    <row r="63" spans="1:17">
      <c r="A63" s="10" t="s">
        <v>391</v>
      </c>
      <c r="B63" s="17" t="s">
        <v>309</v>
      </c>
      <c r="C63" s="8" t="s">
        <v>46</v>
      </c>
      <c r="D63" s="8">
        <v>5.2499999999999998E-2</v>
      </c>
      <c r="E63" s="8">
        <v>5.2499999999999998E-2</v>
      </c>
      <c r="F63" s="52">
        <f>Patient!C6*IF(Patient!C2="Male",D63,E63)/60</f>
        <v>4.9000000000000004</v>
      </c>
      <c r="G63" s="17" t="s">
        <v>392</v>
      </c>
      <c r="H63" s="17"/>
      <c r="I63" s="17" t="s">
        <v>49</v>
      </c>
      <c r="J63" s="51"/>
      <c r="K63" s="47" t="s">
        <v>393</v>
      </c>
      <c r="L63" s="49"/>
      <c r="M63" s="5" t="s">
        <v>356</v>
      </c>
      <c r="N63" s="5"/>
      <c r="O63" s="14" t="s">
        <v>357</v>
      </c>
      <c r="P63" s="14"/>
      <c r="Q63" s="14"/>
    </row>
    <row r="64" spans="1:17" ht="24.75">
      <c r="A64" s="10" t="s">
        <v>394</v>
      </c>
      <c r="B64" s="17" t="s">
        <v>17</v>
      </c>
      <c r="C64" s="8" t="s">
        <v>46</v>
      </c>
      <c r="D64" s="8">
        <v>0.03</v>
      </c>
      <c r="E64" s="8">
        <v>0.03</v>
      </c>
      <c r="F64" s="52">
        <f>Patient!C10*Patient!C7*IF(Patient!C2="Male",D64,E64)</f>
        <v>66.115855998950622</v>
      </c>
      <c r="G64" s="17" t="s">
        <v>270</v>
      </c>
      <c r="H64" s="17"/>
      <c r="I64" s="17" t="s">
        <v>49</v>
      </c>
      <c r="J64" s="51"/>
      <c r="K64" s="47" t="s">
        <v>395</v>
      </c>
      <c r="L64" s="49"/>
      <c r="M64" s="5" t="s">
        <v>356</v>
      </c>
      <c r="N64" s="5" t="s">
        <v>71</v>
      </c>
      <c r="O64" s="14" t="s">
        <v>357</v>
      </c>
      <c r="P64" s="14">
        <v>1</v>
      </c>
      <c r="Q64" s="14"/>
    </row>
    <row r="65" spans="1:17">
      <c r="A65" s="10" t="s">
        <v>396</v>
      </c>
      <c r="B65" s="17" t="s">
        <v>309</v>
      </c>
      <c r="C65" s="8" t="s">
        <v>46</v>
      </c>
      <c r="D65" s="8">
        <v>1</v>
      </c>
      <c r="E65" s="8">
        <v>1</v>
      </c>
      <c r="F65" s="52">
        <f>Patient!C10*Patient!C6*IF(Patient!C3="Male",D65,E65)/60</f>
        <v>37.333333333333336</v>
      </c>
      <c r="G65" s="17" t="s">
        <v>270</v>
      </c>
      <c r="H65" s="17"/>
      <c r="I65" s="17" t="s">
        <v>49</v>
      </c>
      <c r="J65" s="51"/>
      <c r="K65" s="25"/>
      <c r="L65" s="49"/>
      <c r="M65" s="5" t="s">
        <v>356</v>
      </c>
      <c r="N65" s="5" t="s">
        <v>71</v>
      </c>
      <c r="O65" s="14" t="s">
        <v>357</v>
      </c>
      <c r="P65" s="14"/>
      <c r="Q65" s="14"/>
    </row>
    <row r="66" spans="1:17" ht="24.75">
      <c r="A66" s="10" t="s">
        <v>397</v>
      </c>
      <c r="B66" s="17" t="s">
        <v>17</v>
      </c>
      <c r="C66" s="8" t="s">
        <v>46</v>
      </c>
      <c r="D66" s="8">
        <v>0.02</v>
      </c>
      <c r="E66" s="8">
        <v>0.02</v>
      </c>
      <c r="F66" s="52">
        <f>Patient!C10*Patient!C7*IF(Patient!C4="Male",D66,E66)</f>
        <v>44.07723733263375</v>
      </c>
      <c r="G66" s="17" t="s">
        <v>270</v>
      </c>
      <c r="H66" s="17"/>
      <c r="I66" s="17" t="s">
        <v>49</v>
      </c>
      <c r="J66" s="51"/>
      <c r="K66" s="47" t="s">
        <v>395</v>
      </c>
      <c r="L66" s="49"/>
      <c r="M66" s="5" t="s">
        <v>356</v>
      </c>
      <c r="N66" s="5" t="s">
        <v>71</v>
      </c>
      <c r="O66" s="14" t="s">
        <v>357</v>
      </c>
      <c r="P66" s="14">
        <v>1</v>
      </c>
      <c r="Q66" s="14"/>
    </row>
    <row r="67" spans="1:17">
      <c r="A67" s="10" t="s">
        <v>398</v>
      </c>
      <c r="B67" s="17" t="s">
        <v>309</v>
      </c>
      <c r="C67" s="8" t="s">
        <v>46</v>
      </c>
      <c r="D67" s="8">
        <v>1</v>
      </c>
      <c r="E67" s="8">
        <v>1</v>
      </c>
      <c r="F67" s="52">
        <f>Patient!C10*Patient!C6*IF(Patient!C5="Male",D67,E67)/60</f>
        <v>37.333333333333336</v>
      </c>
      <c r="G67" s="17" t="s">
        <v>270</v>
      </c>
      <c r="H67" s="17"/>
      <c r="I67" s="17" t="s">
        <v>49</v>
      </c>
      <c r="J67" s="51"/>
      <c r="K67" s="25"/>
      <c r="L67" s="49"/>
      <c r="M67" s="5" t="s">
        <v>356</v>
      </c>
      <c r="N67" s="5" t="s">
        <v>71</v>
      </c>
      <c r="O67" s="14" t="s">
        <v>357</v>
      </c>
      <c r="P67" s="14"/>
      <c r="Q67" s="14"/>
    </row>
    <row r="68" spans="1:17" ht="24.75">
      <c r="A68" s="10" t="s">
        <v>399</v>
      </c>
      <c r="B68" s="17" t="s">
        <v>17</v>
      </c>
      <c r="C68" s="8" t="s">
        <v>46</v>
      </c>
      <c r="D68" s="8">
        <v>5.5E-2</v>
      </c>
      <c r="E68" s="8">
        <v>5.5E-2</v>
      </c>
      <c r="F68" s="52">
        <f>Patient!C10*Patient!C7*IF(Patient!C6="Male",D68,E68)</f>
        <v>121.21240266474281</v>
      </c>
      <c r="G68" s="17" t="s">
        <v>270</v>
      </c>
      <c r="H68" s="17"/>
      <c r="I68" s="17" t="s">
        <v>49</v>
      </c>
      <c r="J68" s="51"/>
      <c r="K68" s="47" t="s">
        <v>395</v>
      </c>
      <c r="L68" s="49"/>
      <c r="M68" s="5" t="s">
        <v>356</v>
      </c>
      <c r="N68" s="5" t="s">
        <v>71</v>
      </c>
      <c r="O68" s="14" t="s">
        <v>357</v>
      </c>
      <c r="P68" s="14">
        <v>1</v>
      </c>
      <c r="Q68" s="14"/>
    </row>
    <row r="69" spans="1:17">
      <c r="A69" s="10" t="s">
        <v>400</v>
      </c>
      <c r="B69" s="17" t="s">
        <v>309</v>
      </c>
      <c r="C69" s="8" t="s">
        <v>46</v>
      </c>
      <c r="D69" s="8">
        <v>1</v>
      </c>
      <c r="E69" s="8">
        <v>1</v>
      </c>
      <c r="F69" s="52">
        <f>Patient!C10*Patient!C6*IF(Patient!C7="Male",D69,E69)/60</f>
        <v>37.333333333333336</v>
      </c>
      <c r="G69" s="17" t="s">
        <v>270</v>
      </c>
      <c r="H69" s="17"/>
      <c r="I69" s="17" t="s">
        <v>49</v>
      </c>
      <c r="J69" s="51"/>
      <c r="K69" s="25"/>
      <c r="L69" s="49"/>
      <c r="M69" s="5" t="s">
        <v>356</v>
      </c>
      <c r="N69" s="5" t="s">
        <v>71</v>
      </c>
      <c r="O69" s="14" t="s">
        <v>357</v>
      </c>
      <c r="P69" s="14"/>
      <c r="Q69" s="14"/>
    </row>
    <row r="70" spans="1:17" ht="24.75">
      <c r="A70" s="10" t="s">
        <v>401</v>
      </c>
      <c r="B70" s="17" t="s">
        <v>17</v>
      </c>
      <c r="C70" s="8" t="s">
        <v>46</v>
      </c>
      <c r="D70" s="8">
        <v>0.1</v>
      </c>
      <c r="E70" s="8">
        <v>0.1</v>
      </c>
      <c r="F70" s="50">
        <f>Patient!C7*IF(Patient!C2="Male",D70,E70)</f>
        <v>550.96546665792187</v>
      </c>
      <c r="G70" s="17" t="s">
        <v>270</v>
      </c>
      <c r="H70" s="17"/>
      <c r="I70" s="17" t="s">
        <v>49</v>
      </c>
      <c r="J70" s="17"/>
      <c r="K70" s="47" t="s">
        <v>402</v>
      </c>
      <c r="L70" s="49"/>
      <c r="M70" s="5" t="s">
        <v>356</v>
      </c>
      <c r="N70" s="5" t="s">
        <v>71</v>
      </c>
      <c r="O70" s="14" t="s">
        <v>357</v>
      </c>
      <c r="P70" s="14"/>
      <c r="Q70" s="14"/>
    </row>
    <row r="71" spans="1:17">
      <c r="A71" s="10" t="s">
        <v>403</v>
      </c>
      <c r="B71" s="17" t="s">
        <v>309</v>
      </c>
      <c r="C71" s="8" t="s">
        <v>46</v>
      </c>
      <c r="D71" s="8">
        <v>0.255</v>
      </c>
      <c r="E71" s="8">
        <v>0.27</v>
      </c>
      <c r="F71" s="50">
        <f>Patient!C6*IF(Patient!C2="Male",D71,E71)/60</f>
        <v>23.8</v>
      </c>
      <c r="G71" s="17" t="s">
        <v>15</v>
      </c>
      <c r="H71" s="17" t="s">
        <v>404</v>
      </c>
      <c r="I71" s="17" t="s">
        <v>49</v>
      </c>
      <c r="J71" s="17"/>
      <c r="K71" s="25" t="s">
        <v>405</v>
      </c>
      <c r="L71" s="49"/>
      <c r="M71" s="5" t="s">
        <v>356</v>
      </c>
      <c r="N71" s="5" t="s">
        <v>71</v>
      </c>
      <c r="O71" s="14" t="s">
        <v>357</v>
      </c>
      <c r="P71" s="14"/>
      <c r="Q71" s="14"/>
    </row>
    <row r="72" spans="1:17">
      <c r="A72" s="10" t="s">
        <v>406</v>
      </c>
      <c r="B72" s="17" t="s">
        <v>17</v>
      </c>
      <c r="C72" s="8" t="s">
        <v>46</v>
      </c>
      <c r="D72" s="8">
        <v>0.14000000000000001</v>
      </c>
      <c r="E72" s="8">
        <v>0.105</v>
      </c>
      <c r="F72" s="52">
        <f>Patient!C7*IF(Patient!C2="Male",D72,E72)</f>
        <v>771.35165332109068</v>
      </c>
      <c r="G72" s="17" t="s">
        <v>270</v>
      </c>
      <c r="H72" s="17"/>
      <c r="I72" s="17" t="s">
        <v>49</v>
      </c>
      <c r="J72" s="17"/>
      <c r="K72" s="47" t="s">
        <v>407</v>
      </c>
      <c r="L72" s="49"/>
      <c r="M72" s="5" t="s">
        <v>356</v>
      </c>
      <c r="N72" s="5" t="s">
        <v>71</v>
      </c>
      <c r="O72" s="14" t="s">
        <v>357</v>
      </c>
      <c r="P72" s="14"/>
      <c r="Q72" s="14"/>
    </row>
    <row r="73" spans="1:17">
      <c r="A73" s="10" t="s">
        <v>408</v>
      </c>
      <c r="B73" s="17" t="s">
        <v>309</v>
      </c>
      <c r="C73" s="8" t="s">
        <v>46</v>
      </c>
      <c r="D73" s="8">
        <v>0.17</v>
      </c>
      <c r="E73" s="8">
        <v>0.12</v>
      </c>
      <c r="F73" s="52">
        <f>Patient!C6*IF(Patient!C2="Male",D73,E73)/60</f>
        <v>15.866666666666669</v>
      </c>
      <c r="G73" s="17" t="s">
        <v>270</v>
      </c>
      <c r="H73" s="17"/>
      <c r="I73" s="17" t="s">
        <v>49</v>
      </c>
      <c r="J73" s="17"/>
      <c r="K73" s="25"/>
      <c r="L73" s="49"/>
      <c r="M73" s="5" t="s">
        <v>356</v>
      </c>
      <c r="N73" s="5" t="s">
        <v>71</v>
      </c>
      <c r="O73" s="14" t="s">
        <v>357</v>
      </c>
      <c r="P73" s="14"/>
      <c r="Q73" s="14"/>
    </row>
    <row r="74" spans="1:17">
      <c r="A74" s="10" t="s">
        <v>409</v>
      </c>
      <c r="B74" s="17" t="s">
        <v>17</v>
      </c>
      <c r="C74" s="8" t="s">
        <v>46</v>
      </c>
      <c r="D74" s="8">
        <v>0.01</v>
      </c>
      <c r="E74" s="8">
        <v>0.01</v>
      </c>
      <c r="F74" s="52">
        <f>Patient!C7*IF(Patient!C2="Male",D74,E74)</f>
        <v>55.096546665792182</v>
      </c>
      <c r="G74" s="17" t="s">
        <v>270</v>
      </c>
      <c r="H74" s="17"/>
      <c r="I74" s="17" t="s">
        <v>49</v>
      </c>
      <c r="J74" s="51"/>
      <c r="K74" s="47" t="s">
        <v>410</v>
      </c>
      <c r="L74" s="49"/>
      <c r="M74" s="5" t="s">
        <v>356</v>
      </c>
      <c r="N74" s="5" t="s">
        <v>71</v>
      </c>
      <c r="O74" s="14" t="s">
        <v>357</v>
      </c>
      <c r="P74" s="14"/>
      <c r="Q74" s="14"/>
    </row>
    <row r="75" spans="1:17">
      <c r="A75" s="10" t="s">
        <v>411</v>
      </c>
      <c r="B75" s="17" t="s">
        <v>309</v>
      </c>
      <c r="C75" s="8" t="s">
        <v>46</v>
      </c>
      <c r="D75" s="8">
        <v>0.04</v>
      </c>
      <c r="E75" s="8">
        <v>0.05</v>
      </c>
      <c r="F75" s="52">
        <f>Patient!C6*IF(Patient!C2="Male",D75,E75)/60</f>
        <v>3.7333333333333334</v>
      </c>
      <c r="G75" s="17" t="s">
        <v>270</v>
      </c>
      <c r="H75" s="17"/>
      <c r="I75" s="17" t="s">
        <v>49</v>
      </c>
      <c r="J75" s="51"/>
      <c r="K75" s="25"/>
      <c r="L75" s="49"/>
      <c r="M75" s="5" t="s">
        <v>356</v>
      </c>
      <c r="N75" s="5" t="s">
        <v>71</v>
      </c>
      <c r="O75" s="14" t="s">
        <v>357</v>
      </c>
      <c r="P75" s="14"/>
      <c r="Q75" s="14"/>
    </row>
    <row r="76" spans="1:17" ht="24.75">
      <c r="A76" s="10" t="s">
        <v>412</v>
      </c>
      <c r="B76" s="17" t="s">
        <v>17</v>
      </c>
      <c r="C76" s="8" t="s">
        <v>46</v>
      </c>
      <c r="D76" s="8">
        <v>0.03</v>
      </c>
      <c r="E76" s="8">
        <v>0.03</v>
      </c>
      <c r="F76" s="52">
        <f>Patient!C7*IF(Patient!C19="Male",D76,E76)</f>
        <v>165.28963999737655</v>
      </c>
      <c r="G76" s="17" t="s">
        <v>270</v>
      </c>
      <c r="H76" s="17"/>
      <c r="I76" s="17" t="s">
        <v>49</v>
      </c>
      <c r="J76" s="51"/>
      <c r="K76" s="47" t="s">
        <v>395</v>
      </c>
      <c r="L76" s="49"/>
      <c r="M76" s="5" t="s">
        <v>356</v>
      </c>
      <c r="N76" s="5" t="s">
        <v>71</v>
      </c>
      <c r="O76" s="14" t="s">
        <v>357</v>
      </c>
      <c r="P76" s="14"/>
      <c r="Q76" s="14"/>
    </row>
    <row r="77" spans="1:17">
      <c r="A77" s="10" t="s">
        <v>413</v>
      </c>
      <c r="B77" s="17" t="s">
        <v>309</v>
      </c>
      <c r="C77" s="8" t="s">
        <v>46</v>
      </c>
      <c r="D77" s="8">
        <v>1</v>
      </c>
      <c r="E77" s="8">
        <v>1</v>
      </c>
      <c r="F77" s="52">
        <f>Patient!C6*IF(Patient!C2="Male",D77,E77)/60</f>
        <v>93.333333333333329</v>
      </c>
      <c r="G77" s="17" t="s">
        <v>270</v>
      </c>
      <c r="H77" s="17"/>
      <c r="I77" s="17" t="s">
        <v>49</v>
      </c>
      <c r="J77" s="51"/>
      <c r="K77" s="25"/>
      <c r="L77" s="49"/>
      <c r="M77" s="5" t="s">
        <v>356</v>
      </c>
      <c r="N77" s="5" t="s">
        <v>71</v>
      </c>
      <c r="O77" s="14" t="s">
        <v>357</v>
      </c>
      <c r="P77" s="14"/>
      <c r="Q77" s="14"/>
    </row>
    <row r="78" spans="1:17">
      <c r="A78" s="10" t="s">
        <v>414</v>
      </c>
      <c r="B78" s="17" t="s">
        <v>200</v>
      </c>
      <c r="C78" s="20" t="s">
        <v>379</v>
      </c>
      <c r="D78" s="5"/>
      <c r="E78" s="5"/>
      <c r="F78" s="8" t="s">
        <v>281</v>
      </c>
      <c r="G78" s="17" t="s">
        <v>91</v>
      </c>
      <c r="H78" s="17" t="s">
        <v>267</v>
      </c>
      <c r="I78" s="17" t="s">
        <v>49</v>
      </c>
      <c r="J78" s="51"/>
      <c r="K78" s="25"/>
      <c r="L78" s="49"/>
      <c r="M78" s="5" t="s">
        <v>356</v>
      </c>
      <c r="N78" s="5" t="s">
        <v>71</v>
      </c>
      <c r="O78" s="14" t="s">
        <v>357</v>
      </c>
      <c r="P78" s="14"/>
      <c r="Q78" s="14"/>
    </row>
    <row r="79" spans="1:17">
      <c r="A79" s="10" t="s">
        <v>414</v>
      </c>
      <c r="B79" s="17" t="s">
        <v>200</v>
      </c>
      <c r="C79" s="20" t="s">
        <v>382</v>
      </c>
      <c r="D79" s="5"/>
      <c r="E79" s="5"/>
      <c r="F79" s="8" t="s">
        <v>327</v>
      </c>
      <c r="G79" s="17" t="s">
        <v>91</v>
      </c>
      <c r="H79" s="17" t="s">
        <v>267</v>
      </c>
      <c r="I79" s="17" t="s">
        <v>49</v>
      </c>
      <c r="J79" s="51"/>
      <c r="K79" s="25"/>
      <c r="L79" s="49"/>
      <c r="M79" s="5" t="s">
        <v>356</v>
      </c>
      <c r="N79" s="5" t="s">
        <v>71</v>
      </c>
      <c r="O79" s="14" t="s">
        <v>357</v>
      </c>
      <c r="P79" s="14"/>
      <c r="Q79" s="14"/>
    </row>
    <row r="80" spans="1:17" ht="24.75">
      <c r="A80" s="10" t="s">
        <v>415</v>
      </c>
      <c r="B80" s="17" t="s">
        <v>17</v>
      </c>
      <c r="C80" s="8" t="s">
        <v>46</v>
      </c>
      <c r="D80" s="8">
        <v>0.02</v>
      </c>
      <c r="E80" s="8">
        <v>0.02</v>
      </c>
      <c r="F80" s="52">
        <f>Patient!C7*IF(Patient!C2="Male",D80,E80)</f>
        <v>110.19309333158436</v>
      </c>
      <c r="G80" s="17" t="s">
        <v>270</v>
      </c>
      <c r="H80" s="17"/>
      <c r="I80" s="17" t="s">
        <v>49</v>
      </c>
      <c r="J80" s="51"/>
      <c r="K80" s="47" t="s">
        <v>395</v>
      </c>
      <c r="L80" s="49"/>
      <c r="M80" s="5" t="s">
        <v>356</v>
      </c>
      <c r="N80" s="5" t="s">
        <v>71</v>
      </c>
      <c r="O80" s="14" t="s">
        <v>357</v>
      </c>
      <c r="P80" s="14"/>
      <c r="Q80" s="14"/>
    </row>
    <row r="81" spans="1:17">
      <c r="A81" s="10" t="s">
        <v>416</v>
      </c>
      <c r="B81" s="17" t="s">
        <v>309</v>
      </c>
      <c r="C81" s="8" t="s">
        <v>46</v>
      </c>
      <c r="D81" s="8">
        <v>1</v>
      </c>
      <c r="E81" s="8">
        <v>1</v>
      </c>
      <c r="F81" s="52">
        <f>Patient!C6*IF(Patient!C20="Male",D81,E81)/60</f>
        <v>93.333333333333329</v>
      </c>
      <c r="G81" s="17" t="s">
        <v>270</v>
      </c>
      <c r="H81" s="17"/>
      <c r="I81" s="17" t="s">
        <v>49</v>
      </c>
      <c r="J81" s="51"/>
      <c r="K81" s="25"/>
      <c r="L81" s="49"/>
      <c r="M81" s="5" t="s">
        <v>356</v>
      </c>
      <c r="N81" s="5" t="s">
        <v>71</v>
      </c>
      <c r="O81" s="14" t="s">
        <v>357</v>
      </c>
      <c r="P81" s="14"/>
      <c r="Q81" s="14"/>
    </row>
    <row r="82" spans="1:17">
      <c r="A82" s="10" t="s">
        <v>417</v>
      </c>
      <c r="B82" s="17" t="s">
        <v>200</v>
      </c>
      <c r="C82" s="20" t="s">
        <v>46</v>
      </c>
      <c r="D82" s="5"/>
      <c r="E82" s="5"/>
      <c r="F82" s="8" t="s">
        <v>281</v>
      </c>
      <c r="G82" s="17" t="s">
        <v>91</v>
      </c>
      <c r="H82" s="17" t="s">
        <v>267</v>
      </c>
      <c r="I82" s="17" t="s">
        <v>49</v>
      </c>
      <c r="J82" s="51"/>
      <c r="K82" s="25" t="s">
        <v>418</v>
      </c>
      <c r="L82" s="49"/>
      <c r="M82" s="5" t="s">
        <v>356</v>
      </c>
      <c r="N82" s="5" t="s">
        <v>71</v>
      </c>
      <c r="O82" s="14" t="s">
        <v>357</v>
      </c>
      <c r="P82" s="14">
        <v>1</v>
      </c>
      <c r="Q82" s="14"/>
    </row>
    <row r="83" spans="1:17" ht="24.75">
      <c r="A83" s="10" t="s">
        <v>419</v>
      </c>
      <c r="B83" s="17" t="s">
        <v>17</v>
      </c>
      <c r="C83" s="8" t="s">
        <v>46</v>
      </c>
      <c r="D83" s="8">
        <v>5.5E-2</v>
      </c>
      <c r="E83" s="8">
        <v>5.5E-2</v>
      </c>
      <c r="F83" s="52">
        <f>Patient!C7*IF(Patient!C22="Male",D83,E83)</f>
        <v>303.03100666185702</v>
      </c>
      <c r="G83" s="17" t="s">
        <v>270</v>
      </c>
      <c r="H83" s="17"/>
      <c r="I83" s="17" t="s">
        <v>49</v>
      </c>
      <c r="J83" s="51"/>
      <c r="K83" s="47" t="s">
        <v>395</v>
      </c>
      <c r="L83" s="49"/>
      <c r="M83" s="5" t="s">
        <v>356</v>
      </c>
      <c r="N83" s="5" t="s">
        <v>71</v>
      </c>
      <c r="O83" s="14" t="s">
        <v>357</v>
      </c>
      <c r="P83" s="14"/>
      <c r="Q83" s="14"/>
    </row>
    <row r="84" spans="1:17">
      <c r="A84" s="10" t="s">
        <v>420</v>
      </c>
      <c r="B84" s="17" t="s">
        <v>309</v>
      </c>
      <c r="C84" s="8" t="s">
        <v>46</v>
      </c>
      <c r="D84" s="8">
        <v>1</v>
      </c>
      <c r="E84" s="8">
        <v>1</v>
      </c>
      <c r="F84" s="52">
        <f>Patient!C6*IF(Patient!C23="Male",D84,E84)/60</f>
        <v>93.333333333333329</v>
      </c>
      <c r="G84" s="17" t="s">
        <v>270</v>
      </c>
      <c r="H84" s="17"/>
      <c r="I84" s="17" t="s">
        <v>49</v>
      </c>
      <c r="J84" s="51"/>
      <c r="K84" s="25"/>
      <c r="L84" s="49"/>
      <c r="M84" s="5" t="s">
        <v>356</v>
      </c>
      <c r="N84" s="5" t="s">
        <v>71</v>
      </c>
      <c r="O84" s="14" t="s">
        <v>357</v>
      </c>
      <c r="P84" s="14"/>
      <c r="Q84" s="14"/>
    </row>
    <row r="85" spans="1:17" ht="36.75">
      <c r="A85" s="10" t="s">
        <v>421</v>
      </c>
      <c r="B85" s="17" t="s">
        <v>200</v>
      </c>
      <c r="C85" s="20" t="s">
        <v>46</v>
      </c>
      <c r="D85" s="20"/>
      <c r="E85" s="20"/>
      <c r="F85" s="8" t="s">
        <v>281</v>
      </c>
      <c r="G85" s="17" t="s">
        <v>91</v>
      </c>
      <c r="H85" s="17" t="s">
        <v>267</v>
      </c>
      <c r="I85" s="17" t="s">
        <v>49</v>
      </c>
      <c r="J85" s="51"/>
      <c r="K85" s="25" t="s">
        <v>422</v>
      </c>
      <c r="L85" s="49"/>
      <c r="M85" s="5" t="s">
        <v>356</v>
      </c>
      <c r="N85" s="5" t="s">
        <v>71</v>
      </c>
      <c r="O85" s="14" t="s">
        <v>357</v>
      </c>
      <c r="P85" s="14">
        <v>1</v>
      </c>
      <c r="Q85" s="14"/>
    </row>
    <row r="86" spans="1:17" ht="36.75">
      <c r="A86" s="10" t="s">
        <v>423</v>
      </c>
      <c r="B86" s="17" t="s">
        <v>17</v>
      </c>
      <c r="C86" s="8" t="s">
        <v>46</v>
      </c>
      <c r="D86" s="8">
        <v>0.02</v>
      </c>
      <c r="E86" s="8">
        <v>0.02</v>
      </c>
      <c r="F86" s="52">
        <f>Patient!C7*IF(Patient!C2="Male",D86,E86)</f>
        <v>110.19309333158436</v>
      </c>
      <c r="G86" s="17" t="s">
        <v>270</v>
      </c>
      <c r="H86" s="17"/>
      <c r="I86" s="17" t="s">
        <v>49</v>
      </c>
      <c r="J86" s="51"/>
      <c r="K86" s="47" t="s">
        <v>375</v>
      </c>
      <c r="L86" s="49"/>
      <c r="M86" s="5" t="s">
        <v>356</v>
      </c>
      <c r="N86" s="5" t="s">
        <v>71</v>
      </c>
      <c r="O86" s="14" t="s">
        <v>357</v>
      </c>
      <c r="P86" s="14"/>
      <c r="Q86" s="14"/>
    </row>
    <row r="87" spans="1:17">
      <c r="A87" s="10" t="s">
        <v>424</v>
      </c>
      <c r="B87" s="17" t="s">
        <v>309</v>
      </c>
      <c r="C87" s="8" t="s">
        <v>46</v>
      </c>
      <c r="D87" s="8">
        <v>1.4999999999999999E-2</v>
      </c>
      <c r="E87" s="8">
        <v>1.4999999999999999E-2</v>
      </c>
      <c r="F87" s="52">
        <f>Patient!C6*IF(Patient!C2="Male",D87,E87)/60</f>
        <v>1.4</v>
      </c>
      <c r="G87" s="17" t="s">
        <v>425</v>
      </c>
      <c r="H87" s="17"/>
      <c r="I87" s="17" t="s">
        <v>49</v>
      </c>
      <c r="J87" s="51"/>
      <c r="K87" s="47" t="s">
        <v>377</v>
      </c>
      <c r="L87" s="49"/>
      <c r="M87" s="5" t="s">
        <v>356</v>
      </c>
      <c r="N87" s="5"/>
      <c r="O87" s="14" t="s">
        <v>357</v>
      </c>
      <c r="P87" s="14"/>
      <c r="Q87" s="14"/>
    </row>
    <row r="88" spans="1:17" ht="60.75">
      <c r="A88" s="10" t="s">
        <v>426</v>
      </c>
      <c r="B88" s="17" t="s">
        <v>17</v>
      </c>
      <c r="C88" s="20" t="s">
        <v>379</v>
      </c>
      <c r="D88" s="20"/>
      <c r="E88" s="20"/>
      <c r="F88" s="8" t="s">
        <v>427</v>
      </c>
      <c r="G88" s="17" t="s">
        <v>428</v>
      </c>
      <c r="H88" s="17"/>
      <c r="I88" s="17" t="s">
        <v>49</v>
      </c>
      <c r="J88" s="51"/>
      <c r="K88" s="47" t="s">
        <v>429</v>
      </c>
      <c r="L88" s="49"/>
      <c r="M88" s="5" t="s">
        <v>356</v>
      </c>
      <c r="N88" s="5" t="s">
        <v>71</v>
      </c>
      <c r="O88" s="14" t="s">
        <v>357</v>
      </c>
      <c r="P88" s="14"/>
      <c r="Q88" s="14"/>
    </row>
    <row r="89" spans="1:17" ht="24">
      <c r="A89" s="10" t="s">
        <v>426</v>
      </c>
      <c r="B89" s="17" t="s">
        <v>17</v>
      </c>
      <c r="C89" s="20" t="s">
        <v>382</v>
      </c>
      <c r="D89" s="20"/>
      <c r="E89" s="20"/>
      <c r="F89" s="8" t="s">
        <v>430</v>
      </c>
      <c r="G89" s="17" t="s">
        <v>428</v>
      </c>
      <c r="H89" s="17"/>
      <c r="I89" s="17" t="s">
        <v>49</v>
      </c>
      <c r="J89" s="51"/>
      <c r="K89" s="25"/>
      <c r="L89" s="49"/>
      <c r="M89" s="5" t="s">
        <v>356</v>
      </c>
      <c r="N89" s="5" t="s">
        <v>71</v>
      </c>
      <c r="O89" s="14" t="s">
        <v>357</v>
      </c>
      <c r="P89" s="14"/>
      <c r="Q89" s="14"/>
    </row>
    <row r="90" spans="1:17" ht="36.75">
      <c r="A90" s="10" t="s">
        <v>431</v>
      </c>
      <c r="B90" s="17" t="s">
        <v>200</v>
      </c>
      <c r="C90" s="20" t="s">
        <v>379</v>
      </c>
      <c r="D90" s="20"/>
      <c r="E90" s="20"/>
      <c r="F90" s="8" t="s">
        <v>284</v>
      </c>
      <c r="G90" s="17" t="s">
        <v>282</v>
      </c>
      <c r="H90" s="17"/>
      <c r="I90" s="17" t="s">
        <v>49</v>
      </c>
      <c r="J90" s="51"/>
      <c r="K90" s="25" t="s">
        <v>285</v>
      </c>
      <c r="L90" s="49"/>
      <c r="M90" s="5" t="s">
        <v>356</v>
      </c>
      <c r="N90" s="5" t="s">
        <v>71</v>
      </c>
      <c r="O90" s="14" t="s">
        <v>357</v>
      </c>
      <c r="P90" s="14"/>
      <c r="Q90" s="14"/>
    </row>
    <row r="91" spans="1:17">
      <c r="A91" s="10" t="s">
        <v>431</v>
      </c>
      <c r="B91" s="17" t="s">
        <v>200</v>
      </c>
      <c r="C91" s="20" t="s">
        <v>382</v>
      </c>
      <c r="D91" s="20"/>
      <c r="E91" s="20"/>
      <c r="F91" s="8" t="s">
        <v>327</v>
      </c>
      <c r="G91" s="17" t="s">
        <v>282</v>
      </c>
      <c r="H91" s="17"/>
      <c r="I91" s="17" t="s">
        <v>49</v>
      </c>
      <c r="J91" s="51"/>
      <c r="K91" s="25"/>
      <c r="L91" s="49"/>
      <c r="M91" s="5" t="s">
        <v>356</v>
      </c>
      <c r="N91" s="5" t="s">
        <v>71</v>
      </c>
      <c r="O91" s="14" t="s">
        <v>357</v>
      </c>
      <c r="P91" s="14"/>
      <c r="Q91" s="14"/>
    </row>
    <row r="92" spans="1:17">
      <c r="A92" s="10" t="s">
        <v>432</v>
      </c>
      <c r="B92" s="17" t="s">
        <v>309</v>
      </c>
      <c r="C92" s="8" t="s">
        <v>46</v>
      </c>
      <c r="D92" s="8"/>
      <c r="E92" s="8"/>
      <c r="F92" s="8">
        <v>94.7</v>
      </c>
      <c r="G92" s="17" t="s">
        <v>270</v>
      </c>
      <c r="H92" s="17"/>
      <c r="I92" s="17" t="s">
        <v>49</v>
      </c>
      <c r="J92" s="51"/>
      <c r="K92" s="25"/>
      <c r="L92" s="49"/>
      <c r="M92" s="5" t="s">
        <v>356</v>
      </c>
      <c r="N92" s="5" t="s">
        <v>71</v>
      </c>
      <c r="O92" s="14" t="s">
        <v>357</v>
      </c>
      <c r="P92" s="14"/>
      <c r="Q92" s="14"/>
    </row>
    <row r="93" spans="1:17" ht="24.75">
      <c r="A93" s="10" t="s">
        <v>433</v>
      </c>
      <c r="B93" s="17" t="s">
        <v>17</v>
      </c>
      <c r="C93" s="8" t="s">
        <v>46</v>
      </c>
      <c r="D93" s="8"/>
      <c r="E93" s="8"/>
      <c r="F93" s="7">
        <f>F49*0.5</f>
        <v>55.096546665792182</v>
      </c>
      <c r="G93" s="17" t="s">
        <v>270</v>
      </c>
      <c r="H93" s="17"/>
      <c r="I93" s="17" t="s">
        <v>49</v>
      </c>
      <c r="J93" s="51"/>
      <c r="K93" s="47" t="s">
        <v>387</v>
      </c>
      <c r="L93" s="49"/>
      <c r="M93" s="5" t="s">
        <v>356</v>
      </c>
      <c r="N93" s="5" t="s">
        <v>71</v>
      </c>
      <c r="O93" s="14" t="s">
        <v>357</v>
      </c>
      <c r="P93" s="14"/>
      <c r="Q93" s="14"/>
    </row>
    <row r="94" spans="1:17" ht="24.75">
      <c r="A94" s="10" t="s">
        <v>434</v>
      </c>
      <c r="B94" s="17" t="s">
        <v>309</v>
      </c>
      <c r="C94" s="8" t="s">
        <v>46</v>
      </c>
      <c r="D94" s="8"/>
      <c r="E94" s="8"/>
      <c r="F94" s="50">
        <f>F50*0.5</f>
        <v>8.8666666666666671</v>
      </c>
      <c r="G94" s="17" t="s">
        <v>270</v>
      </c>
      <c r="H94" s="17"/>
      <c r="I94" s="17" t="s">
        <v>49</v>
      </c>
      <c r="J94" s="51"/>
      <c r="K94" s="25" t="s">
        <v>389</v>
      </c>
      <c r="L94" s="49"/>
      <c r="M94" s="5" t="s">
        <v>356</v>
      </c>
      <c r="N94" s="5" t="s">
        <v>71</v>
      </c>
      <c r="O94" s="14" t="s">
        <v>357</v>
      </c>
      <c r="P94" s="14"/>
      <c r="Q94" s="14"/>
    </row>
    <row r="95" spans="1:17" ht="36.75">
      <c r="A95" s="10" t="s">
        <v>435</v>
      </c>
      <c r="B95" s="17" t="s">
        <v>17</v>
      </c>
      <c r="C95" s="8" t="s">
        <v>46</v>
      </c>
      <c r="D95" s="8">
        <v>0.04</v>
      </c>
      <c r="E95" s="8">
        <v>0.04</v>
      </c>
      <c r="F95" s="52">
        <f>Patient!C7*IF(Patient!C2="Male",D95,E95)</f>
        <v>220.38618666316873</v>
      </c>
      <c r="G95" s="17" t="s">
        <v>270</v>
      </c>
      <c r="H95" s="17"/>
      <c r="I95" s="17" t="s">
        <v>49</v>
      </c>
      <c r="J95" s="51"/>
      <c r="K95" s="47" t="s">
        <v>375</v>
      </c>
      <c r="L95" s="49"/>
      <c r="M95" s="5" t="s">
        <v>356</v>
      </c>
      <c r="N95" s="5" t="s">
        <v>71</v>
      </c>
      <c r="O95" s="14" t="s">
        <v>357</v>
      </c>
      <c r="P95" s="14"/>
      <c r="Q95" s="14"/>
    </row>
    <row r="96" spans="1:17">
      <c r="A96" s="10" t="s">
        <v>436</v>
      </c>
      <c r="B96" s="17" t="s">
        <v>309</v>
      </c>
      <c r="C96" s="8" t="s">
        <v>46</v>
      </c>
      <c r="D96" s="8">
        <v>5.2499999999999998E-2</v>
      </c>
      <c r="E96" s="8">
        <v>5.2499999999999998E-2</v>
      </c>
      <c r="F96" s="52">
        <f>Patient!C6*IF(Patient!C2="Male",D96,E96)/60</f>
        <v>4.9000000000000004</v>
      </c>
      <c r="G96" s="17" t="s">
        <v>392</v>
      </c>
      <c r="H96" s="17"/>
      <c r="I96" s="17" t="s">
        <v>49</v>
      </c>
      <c r="J96" s="51"/>
      <c r="K96" s="47" t="s">
        <v>393</v>
      </c>
      <c r="L96" s="49"/>
      <c r="M96" s="5" t="s">
        <v>356</v>
      </c>
      <c r="N96" s="5"/>
      <c r="O96" s="14" t="s">
        <v>357</v>
      </c>
      <c r="P96" s="14"/>
      <c r="Q96" s="14"/>
    </row>
    <row r="97" spans="1:17" ht="24.75">
      <c r="A97" s="10" t="s">
        <v>437</v>
      </c>
      <c r="B97" s="17" t="s">
        <v>17</v>
      </c>
      <c r="C97" s="8" t="s">
        <v>46</v>
      </c>
      <c r="D97" s="8">
        <v>0.03</v>
      </c>
      <c r="E97" s="8">
        <v>0.03</v>
      </c>
      <c r="F97" s="52">
        <f>Patient!C9*Patient!C7*IF(Patient!C2="Male",D97,E97)</f>
        <v>99.173783998425932</v>
      </c>
      <c r="G97" s="17" t="s">
        <v>270</v>
      </c>
      <c r="H97" s="17"/>
      <c r="I97" s="17" t="s">
        <v>49</v>
      </c>
      <c r="J97" s="51"/>
      <c r="K97" s="47" t="s">
        <v>395</v>
      </c>
      <c r="L97" s="49"/>
      <c r="M97" s="5" t="s">
        <v>356</v>
      </c>
      <c r="N97" s="5" t="s">
        <v>71</v>
      </c>
      <c r="O97" s="14" t="s">
        <v>357</v>
      </c>
      <c r="P97" s="14">
        <v>1</v>
      </c>
      <c r="Q97" s="14"/>
    </row>
    <row r="98" spans="1:17">
      <c r="A98" s="10" t="s">
        <v>438</v>
      </c>
      <c r="B98" s="17" t="s">
        <v>309</v>
      </c>
      <c r="C98" s="8" t="s">
        <v>46</v>
      </c>
      <c r="D98" s="8">
        <v>1</v>
      </c>
      <c r="E98" s="8">
        <v>1</v>
      </c>
      <c r="F98" s="8">
        <f>Patient!C9*Patient!C6*IF(Patient!C2="Male",D98,E98)/60</f>
        <v>56</v>
      </c>
      <c r="G98" s="17" t="s">
        <v>270</v>
      </c>
      <c r="H98" s="17"/>
      <c r="I98" s="17" t="s">
        <v>49</v>
      </c>
      <c r="J98" s="51"/>
      <c r="K98" s="25"/>
      <c r="L98" s="49"/>
      <c r="M98" s="5" t="s">
        <v>356</v>
      </c>
      <c r="N98" s="5" t="s">
        <v>71</v>
      </c>
      <c r="O98" s="14" t="s">
        <v>357</v>
      </c>
      <c r="P98" s="14"/>
      <c r="Q98" s="14"/>
    </row>
    <row r="99" spans="1:17" ht="24.75">
      <c r="A99" s="10" t="s">
        <v>439</v>
      </c>
      <c r="B99" s="17" t="s">
        <v>17</v>
      </c>
      <c r="C99" s="8" t="s">
        <v>46</v>
      </c>
      <c r="D99" s="8">
        <v>0.02</v>
      </c>
      <c r="E99" s="8">
        <v>0.02</v>
      </c>
      <c r="F99" s="52">
        <f>Patient!C9*Patient!C7*IF(Patient!C2="Male",D99,E99)</f>
        <v>66.115855998950622</v>
      </c>
      <c r="G99" s="17" t="s">
        <v>270</v>
      </c>
      <c r="H99" s="17"/>
      <c r="I99" s="17" t="s">
        <v>49</v>
      </c>
      <c r="J99" s="51"/>
      <c r="K99" s="47" t="s">
        <v>395</v>
      </c>
      <c r="L99" s="49"/>
      <c r="M99" s="5" t="s">
        <v>356</v>
      </c>
      <c r="N99" s="5" t="s">
        <v>71</v>
      </c>
      <c r="O99" s="14" t="s">
        <v>357</v>
      </c>
      <c r="P99" s="14">
        <v>1</v>
      </c>
      <c r="Q99" s="14"/>
    </row>
    <row r="100" spans="1:17">
      <c r="A100" s="10" t="s">
        <v>440</v>
      </c>
      <c r="B100" s="17" t="s">
        <v>309</v>
      </c>
      <c r="C100" s="8" t="s">
        <v>46</v>
      </c>
      <c r="D100" s="8">
        <v>1</v>
      </c>
      <c r="E100" s="8">
        <v>1</v>
      </c>
      <c r="F100" s="8">
        <f>Patient!C9*Patient!C6*IF(Patient!C2="Male",D100,E100)/60</f>
        <v>56</v>
      </c>
      <c r="G100" s="17" t="s">
        <v>270</v>
      </c>
      <c r="H100" s="17"/>
      <c r="I100" s="17" t="s">
        <v>49</v>
      </c>
      <c r="J100" s="51"/>
      <c r="K100" s="25"/>
      <c r="L100" s="49"/>
      <c r="M100" s="5" t="s">
        <v>356</v>
      </c>
      <c r="N100" s="5" t="s">
        <v>71</v>
      </c>
      <c r="O100" s="14" t="s">
        <v>357</v>
      </c>
      <c r="P100" s="14"/>
      <c r="Q100" s="14"/>
    </row>
    <row r="101" spans="1:17" ht="24.75">
      <c r="A101" s="10" t="s">
        <v>441</v>
      </c>
      <c r="B101" s="17" t="s">
        <v>17</v>
      </c>
      <c r="C101" s="8" t="s">
        <v>46</v>
      </c>
      <c r="D101" s="8">
        <v>5.5E-2</v>
      </c>
      <c r="E101" s="8">
        <v>5.5E-2</v>
      </c>
      <c r="F101" s="52">
        <f>Patient!C9*Patient!C7*IF(Patient!C2="Male",D101,E101)</f>
        <v>181.8186039971142</v>
      </c>
      <c r="G101" s="17" t="s">
        <v>270</v>
      </c>
      <c r="H101" s="17"/>
      <c r="I101" s="17" t="s">
        <v>49</v>
      </c>
      <c r="J101" s="17"/>
      <c r="K101" s="47" t="s">
        <v>395</v>
      </c>
      <c r="L101" s="49"/>
      <c r="M101" s="5" t="s">
        <v>356</v>
      </c>
      <c r="N101" s="5" t="s">
        <v>71</v>
      </c>
      <c r="O101" s="14" t="s">
        <v>357</v>
      </c>
      <c r="P101" s="14">
        <v>1</v>
      </c>
      <c r="Q101" s="14"/>
    </row>
    <row r="102" spans="1:17">
      <c r="A102" s="10" t="s">
        <v>442</v>
      </c>
      <c r="B102" s="17" t="s">
        <v>309</v>
      </c>
      <c r="C102" s="8" t="s">
        <v>46</v>
      </c>
      <c r="D102" s="8">
        <v>1</v>
      </c>
      <c r="E102" s="8">
        <v>1</v>
      </c>
      <c r="F102" s="8">
        <f>Patient!C9*Patient!C6*IF(Patient!C2="Male",D102,E102)/60</f>
        <v>56</v>
      </c>
      <c r="G102" s="17" t="s">
        <v>270</v>
      </c>
      <c r="H102" s="17"/>
      <c r="I102" s="17" t="s">
        <v>49</v>
      </c>
      <c r="J102" s="17"/>
      <c r="K102" s="25"/>
      <c r="L102" s="49"/>
      <c r="M102" s="5" t="s">
        <v>356</v>
      </c>
      <c r="N102" s="5" t="s">
        <v>71</v>
      </c>
      <c r="O102" s="14" t="s">
        <v>357</v>
      </c>
      <c r="P102" s="14"/>
      <c r="Q102" s="14"/>
    </row>
    <row r="103" spans="1:17" ht="24.75">
      <c r="A103" s="10" t="s">
        <v>443</v>
      </c>
      <c r="B103" s="17" t="s">
        <v>17</v>
      </c>
      <c r="C103" s="8" t="s">
        <v>46</v>
      </c>
      <c r="D103" s="8">
        <v>0.03</v>
      </c>
      <c r="E103" s="8">
        <v>0.03</v>
      </c>
      <c r="F103" s="52">
        <f>Patient!C7*IF(Patient!C2="Male",D103,E103)</f>
        <v>165.28963999737655</v>
      </c>
      <c r="G103" s="17" t="s">
        <v>270</v>
      </c>
      <c r="H103" s="17"/>
      <c r="I103" s="17" t="s">
        <v>49</v>
      </c>
      <c r="J103" s="17"/>
      <c r="K103" s="47" t="s">
        <v>402</v>
      </c>
      <c r="L103" s="49"/>
      <c r="M103" s="5" t="s">
        <v>356</v>
      </c>
      <c r="N103" s="5" t="s">
        <v>71</v>
      </c>
      <c r="O103" s="14" t="s">
        <v>357</v>
      </c>
      <c r="P103" s="14"/>
      <c r="Q103" s="14"/>
    </row>
    <row r="104" spans="1:17">
      <c r="A104" s="10" t="s">
        <v>444</v>
      </c>
      <c r="B104" s="17" t="s">
        <v>309</v>
      </c>
      <c r="C104" s="8" t="s">
        <v>46</v>
      </c>
      <c r="D104" s="8">
        <v>0.05</v>
      </c>
      <c r="E104" s="8">
        <v>0.05</v>
      </c>
      <c r="F104" s="52">
        <f>Patient!C6*IF(Patient!C2="Male",D104,E104)/60</f>
        <v>4.666666666666667</v>
      </c>
      <c r="G104" s="17" t="s">
        <v>270</v>
      </c>
      <c r="H104" s="17"/>
      <c r="I104" s="17" t="s">
        <v>49</v>
      </c>
      <c r="J104" s="17"/>
      <c r="K104" s="25"/>
      <c r="L104" s="49"/>
      <c r="M104" s="5" t="s">
        <v>356</v>
      </c>
      <c r="N104" s="5" t="s">
        <v>71</v>
      </c>
      <c r="O104" s="14" t="s">
        <v>357</v>
      </c>
      <c r="P104" s="14"/>
      <c r="Q104" s="14"/>
    </row>
    <row r="105" spans="1:17">
      <c r="A105" s="10" t="s">
        <v>445</v>
      </c>
      <c r="B105" s="17" t="s">
        <v>17</v>
      </c>
      <c r="C105" s="8" t="s">
        <v>46</v>
      </c>
      <c r="D105" s="8">
        <v>3.7999999999999999E-2</v>
      </c>
      <c r="E105" s="8">
        <v>3.7999999999999999E-2</v>
      </c>
      <c r="F105" s="50">
        <f>Patient!C7*IF(Patient!C2="Male",D105,E105)</f>
        <v>209.36687733001028</v>
      </c>
      <c r="G105" s="17" t="s">
        <v>270</v>
      </c>
      <c r="H105" s="17"/>
      <c r="I105" s="17" t="s">
        <v>49</v>
      </c>
      <c r="J105" s="17"/>
      <c r="K105" s="25"/>
      <c r="L105" s="49"/>
      <c r="M105" s="5" t="s">
        <v>356</v>
      </c>
      <c r="N105" s="5" t="s">
        <v>71</v>
      </c>
      <c r="O105" s="14" t="s">
        <v>357</v>
      </c>
      <c r="P105" s="14"/>
      <c r="Q105" s="14"/>
    </row>
    <row r="106" spans="1:17">
      <c r="A106" s="10" t="s">
        <v>446</v>
      </c>
      <c r="B106" s="17" t="s">
        <v>309</v>
      </c>
      <c r="C106" s="8" t="s">
        <v>46</v>
      </c>
      <c r="D106" s="8">
        <v>0.1</v>
      </c>
      <c r="E106" s="8">
        <v>0.11</v>
      </c>
      <c r="F106" s="50">
        <f>Patient!C6*IF(Patient!C2="Male",D106,E106)/60</f>
        <v>9.3333333333333339</v>
      </c>
      <c r="G106" s="17" t="s">
        <v>270</v>
      </c>
      <c r="H106" s="17"/>
      <c r="I106" s="17" t="s">
        <v>49</v>
      </c>
      <c r="J106" s="17"/>
      <c r="K106" s="25"/>
      <c r="L106" s="49"/>
      <c r="M106" s="5" t="s">
        <v>356</v>
      </c>
      <c r="N106" s="5" t="s">
        <v>71</v>
      </c>
      <c r="O106" s="14" t="s">
        <v>357</v>
      </c>
      <c r="P106" s="14"/>
      <c r="Q106" s="14"/>
    </row>
    <row r="107" spans="1:17">
      <c r="A107" s="10" t="s">
        <v>447</v>
      </c>
      <c r="B107" s="17" t="s">
        <v>17</v>
      </c>
      <c r="C107" s="8" t="s">
        <v>46</v>
      </c>
      <c r="D107" s="8">
        <v>0.01</v>
      </c>
      <c r="E107" s="8">
        <v>0.01</v>
      </c>
      <c r="F107" s="50">
        <f>Patient!C7*IF(Patient!C2="Male",D107,E107)</f>
        <v>55.096546665792182</v>
      </c>
      <c r="G107" s="17" t="s">
        <v>270</v>
      </c>
      <c r="H107" s="17"/>
      <c r="I107" s="17" t="s">
        <v>49</v>
      </c>
      <c r="J107" s="17"/>
      <c r="K107" s="25"/>
      <c r="L107" s="49"/>
      <c r="M107" s="5" t="s">
        <v>356</v>
      </c>
      <c r="N107" s="5" t="s">
        <v>71</v>
      </c>
      <c r="O107" s="14" t="s">
        <v>357</v>
      </c>
      <c r="P107" s="14"/>
      <c r="Q107" s="14"/>
    </row>
    <row r="108" spans="1:17">
      <c r="A108" s="10" t="s">
        <v>448</v>
      </c>
      <c r="B108" s="17" t="s">
        <v>309</v>
      </c>
      <c r="C108" s="8" t="s">
        <v>46</v>
      </c>
      <c r="D108" s="8">
        <v>0.01</v>
      </c>
      <c r="E108" s="8">
        <v>0.01</v>
      </c>
      <c r="F108" s="50">
        <f>Patient!C6*IF(Patient!C2="Male",D108,E108)/60</f>
        <v>0.93333333333333335</v>
      </c>
      <c r="G108" s="17" t="s">
        <v>270</v>
      </c>
      <c r="H108" s="8"/>
      <c r="I108" s="17" t="s">
        <v>49</v>
      </c>
      <c r="J108" s="8"/>
      <c r="K108" s="47" t="s">
        <v>449</v>
      </c>
      <c r="L108" s="49"/>
      <c r="M108" s="5" t="s">
        <v>356</v>
      </c>
      <c r="N108" s="5" t="s">
        <v>71</v>
      </c>
      <c r="O108" s="14" t="s">
        <v>357</v>
      </c>
      <c r="P108" s="14"/>
      <c r="Q108" s="14"/>
    </row>
    <row r="109" spans="1:17">
      <c r="A109" s="10" t="s">
        <v>450</v>
      </c>
      <c r="B109" s="17" t="s">
        <v>17</v>
      </c>
      <c r="C109" s="8" t="s">
        <v>46</v>
      </c>
      <c r="D109" s="8">
        <v>1.4E-2</v>
      </c>
      <c r="E109" s="8">
        <v>1.4E-2</v>
      </c>
      <c r="F109" s="50">
        <f>Patient!C7*IF(Patient!C2="Male",D109,E109)</f>
        <v>77.135165332109054</v>
      </c>
      <c r="G109" s="17" t="s">
        <v>270</v>
      </c>
      <c r="H109" s="17"/>
      <c r="I109" s="17" t="s">
        <v>49</v>
      </c>
      <c r="J109" s="51"/>
      <c r="K109" s="25"/>
      <c r="L109" s="49"/>
      <c r="M109" s="5" t="s">
        <v>356</v>
      </c>
      <c r="N109" s="5" t="s">
        <v>71</v>
      </c>
      <c r="O109" s="14" t="s">
        <v>357</v>
      </c>
      <c r="P109" s="14"/>
      <c r="Q109" s="14"/>
    </row>
    <row r="110" spans="1:17">
      <c r="A110" s="10" t="s">
        <v>451</v>
      </c>
      <c r="B110" s="17" t="s">
        <v>309</v>
      </c>
      <c r="C110" s="8" t="s">
        <v>46</v>
      </c>
      <c r="D110" s="8">
        <v>0.03</v>
      </c>
      <c r="E110" s="8">
        <v>0.03</v>
      </c>
      <c r="F110" s="50">
        <f>Patient!C6*IF(Patient!C2="Male",D110,E110)/60</f>
        <v>2.8</v>
      </c>
      <c r="G110" s="17" t="s">
        <v>270</v>
      </c>
      <c r="H110" s="17"/>
      <c r="I110" s="17" t="s">
        <v>49</v>
      </c>
      <c r="J110" s="51"/>
      <c r="K110" s="25"/>
      <c r="L110" s="49"/>
      <c r="M110" s="5" t="s">
        <v>356</v>
      </c>
      <c r="N110" s="5" t="s">
        <v>71</v>
      </c>
      <c r="O110" s="14" t="s">
        <v>357</v>
      </c>
      <c r="P110" s="14"/>
      <c r="Q110" s="14"/>
    </row>
    <row r="111" spans="1:17" ht="24.75">
      <c r="A111" s="10" t="s">
        <v>452</v>
      </c>
      <c r="B111" s="17" t="s">
        <v>17</v>
      </c>
      <c r="C111" s="8" t="s">
        <v>46</v>
      </c>
      <c r="D111" s="8">
        <v>0.17499999999999999</v>
      </c>
      <c r="E111" s="8">
        <v>0.17499999999999999</v>
      </c>
      <c r="F111" s="52">
        <f>Patient!C7*IF(Patient!C2="Male",D111,E111)</f>
        <v>964.18956665136318</v>
      </c>
      <c r="G111" s="17" t="s">
        <v>270</v>
      </c>
      <c r="H111" s="26"/>
      <c r="I111" s="17" t="s">
        <v>49</v>
      </c>
      <c r="J111" s="5"/>
      <c r="K111" s="47" t="s">
        <v>402</v>
      </c>
      <c r="L111" s="56"/>
      <c r="M111" s="5" t="s">
        <v>356</v>
      </c>
      <c r="N111" s="5" t="s">
        <v>71</v>
      </c>
      <c r="O111" s="14" t="s">
        <v>357</v>
      </c>
      <c r="P111" s="14"/>
      <c r="Q111" s="14"/>
    </row>
    <row r="112" spans="1:17">
      <c r="A112" s="10" t="s">
        <v>453</v>
      </c>
      <c r="B112" s="17" t="s">
        <v>309</v>
      </c>
      <c r="C112" s="8" t="s">
        <v>46</v>
      </c>
      <c r="D112" s="8">
        <v>1</v>
      </c>
      <c r="E112" s="8">
        <v>1</v>
      </c>
      <c r="F112" s="52">
        <f>Patient!C6*IF(Patient!C2="Male",D112,E112)/60</f>
        <v>93.333333333333329</v>
      </c>
      <c r="G112" s="17" t="s">
        <v>270</v>
      </c>
      <c r="H112" s="26"/>
      <c r="I112" s="17" t="s">
        <v>49</v>
      </c>
      <c r="J112" s="5"/>
      <c r="K112" s="33"/>
      <c r="L112" s="56"/>
      <c r="M112" s="5" t="s">
        <v>356</v>
      </c>
      <c r="N112" s="5" t="s">
        <v>71</v>
      </c>
      <c r="O112" s="14" t="s">
        <v>357</v>
      </c>
      <c r="P112" s="14"/>
      <c r="Q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59"/>
  <sheetViews>
    <sheetView zoomScaleNormal="100" workbookViewId="0">
      <pane xSplit="1" topLeftCell="B1" activePane="topRight" state="frozen"/>
      <selection pane="topRight"/>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5" ht="24">
      <c r="A1" s="3" t="s">
        <v>30</v>
      </c>
      <c r="B1" s="9" t="s">
        <v>1</v>
      </c>
      <c r="C1" s="9" t="s">
        <v>31</v>
      </c>
      <c r="D1" s="9" t="s">
        <v>34</v>
      </c>
      <c r="E1" s="9" t="s">
        <v>3</v>
      </c>
      <c r="F1" s="9" t="s">
        <v>35</v>
      </c>
      <c r="G1" s="57" t="s">
        <v>36</v>
      </c>
      <c r="H1" s="9" t="s">
        <v>37</v>
      </c>
      <c r="I1" s="9" t="s">
        <v>38</v>
      </c>
      <c r="J1" s="29" t="s">
        <v>39</v>
      </c>
      <c r="K1" s="9" t="s">
        <v>40</v>
      </c>
      <c r="L1" s="9" t="s">
        <v>41</v>
      </c>
      <c r="M1" s="9" t="s">
        <v>42</v>
      </c>
      <c r="N1" s="9" t="s">
        <v>43</v>
      </c>
      <c r="O1" s="9" t="s">
        <v>1194</v>
      </c>
    </row>
    <row r="2" spans="1:15" ht="24">
      <c r="A2" s="48" t="s">
        <v>257</v>
      </c>
      <c r="B2" s="8"/>
      <c r="C2" s="8"/>
      <c r="D2" s="8"/>
      <c r="E2" s="8"/>
      <c r="F2" s="8"/>
      <c r="G2" s="8" t="s">
        <v>49</v>
      </c>
      <c r="H2" s="26" t="s">
        <v>258</v>
      </c>
      <c r="I2" s="25"/>
      <c r="J2" s="49"/>
      <c r="K2" s="5" t="s">
        <v>1163</v>
      </c>
      <c r="L2" s="5"/>
      <c r="M2" s="14" t="s">
        <v>52</v>
      </c>
      <c r="N2" s="14">
        <v>2</v>
      </c>
      <c r="O2" s="14"/>
    </row>
    <row r="3" spans="1:15" ht="24">
      <c r="A3" s="10" t="s">
        <v>16</v>
      </c>
      <c r="B3" s="8" t="s">
        <v>17</v>
      </c>
      <c r="C3" s="8" t="s">
        <v>46</v>
      </c>
      <c r="D3" s="20">
        <v>5674</v>
      </c>
      <c r="E3" s="8" t="s">
        <v>15</v>
      </c>
      <c r="F3" s="8" t="s">
        <v>260</v>
      </c>
      <c r="G3" s="8" t="s">
        <v>49</v>
      </c>
      <c r="H3" s="5"/>
      <c r="I3" s="8" t="s">
        <v>261</v>
      </c>
      <c r="J3" s="49"/>
      <c r="K3" s="5" t="s">
        <v>1163</v>
      </c>
      <c r="L3" s="5" t="s">
        <v>57</v>
      </c>
      <c r="M3" s="14" t="s">
        <v>52</v>
      </c>
      <c r="N3" s="14"/>
      <c r="O3" s="14"/>
    </row>
    <row r="4" spans="1:15" ht="36">
      <c r="A4" s="10" t="s">
        <v>18</v>
      </c>
      <c r="B4" s="8" t="s">
        <v>262</v>
      </c>
      <c r="C4" s="8" t="s">
        <v>46</v>
      </c>
      <c r="D4" s="20">
        <v>3</v>
      </c>
      <c r="E4" s="8" t="s">
        <v>15</v>
      </c>
      <c r="F4" s="8" t="s">
        <v>263</v>
      </c>
      <c r="G4" s="8" t="s">
        <v>49</v>
      </c>
      <c r="H4" s="26" t="s">
        <v>264</v>
      </c>
      <c r="I4" s="8"/>
      <c r="J4" s="49"/>
      <c r="K4" s="5" t="s">
        <v>1163</v>
      </c>
      <c r="L4" s="5" t="s">
        <v>71</v>
      </c>
      <c r="M4" s="14" t="s">
        <v>52</v>
      </c>
      <c r="N4" s="14">
        <v>1</v>
      </c>
      <c r="O4" s="14"/>
    </row>
    <row r="5" spans="1:15">
      <c r="A5" s="10" t="s">
        <v>13</v>
      </c>
      <c r="B5" s="8" t="s">
        <v>14</v>
      </c>
      <c r="C5" s="8" t="s">
        <v>46</v>
      </c>
      <c r="D5" s="20">
        <v>5600</v>
      </c>
      <c r="E5" s="8" t="s">
        <v>15</v>
      </c>
      <c r="F5" s="8" t="s">
        <v>263</v>
      </c>
      <c r="G5" s="8" t="s">
        <v>49</v>
      </c>
      <c r="H5" s="5"/>
      <c r="I5" s="8"/>
      <c r="J5" s="49"/>
      <c r="K5" s="5" t="s">
        <v>1163</v>
      </c>
      <c r="L5" s="5" t="s">
        <v>57</v>
      </c>
      <c r="M5" s="14" t="s">
        <v>52</v>
      </c>
      <c r="N5" s="14"/>
      <c r="O5" s="14"/>
    </row>
    <row r="6" spans="1:15" ht="48">
      <c r="A6" s="48" t="s">
        <v>265</v>
      </c>
      <c r="B6" s="17" t="s">
        <v>200</v>
      </c>
      <c r="C6" s="8" t="s">
        <v>46</v>
      </c>
      <c r="D6" s="20" t="s">
        <v>266</v>
      </c>
      <c r="E6" s="17" t="s">
        <v>91</v>
      </c>
      <c r="F6" s="8" t="s">
        <v>267</v>
      </c>
      <c r="G6" s="8" t="s">
        <v>49</v>
      </c>
      <c r="H6" s="26" t="s">
        <v>258</v>
      </c>
      <c r="I6" s="17" t="s">
        <v>268</v>
      </c>
      <c r="J6" s="49"/>
      <c r="K6" s="5" t="s">
        <v>1163</v>
      </c>
      <c r="L6" s="5"/>
      <c r="M6" s="14" t="s">
        <v>52</v>
      </c>
      <c r="N6" s="14">
        <v>3</v>
      </c>
      <c r="O6" s="14"/>
    </row>
    <row r="7" spans="1:15">
      <c r="A7" s="10" t="s">
        <v>269</v>
      </c>
      <c r="B7" s="8" t="s">
        <v>14</v>
      </c>
      <c r="C7" s="8" t="s">
        <v>46</v>
      </c>
      <c r="D7" s="50">
        <v>638.4</v>
      </c>
      <c r="E7" s="17" t="s">
        <v>270</v>
      </c>
      <c r="F7" s="8"/>
      <c r="G7" s="8" t="s">
        <v>49</v>
      </c>
      <c r="H7" s="26"/>
      <c r="I7" s="17"/>
      <c r="J7" s="49"/>
      <c r="K7" s="5" t="s">
        <v>1163</v>
      </c>
      <c r="L7" s="5" t="s">
        <v>57</v>
      </c>
      <c r="M7" s="14" t="s">
        <v>52</v>
      </c>
      <c r="N7" s="14">
        <v>1</v>
      </c>
      <c r="O7" s="14"/>
    </row>
    <row r="8" spans="1:15">
      <c r="A8" s="10" t="s">
        <v>271</v>
      </c>
      <c r="B8" s="17" t="s">
        <v>200</v>
      </c>
      <c r="C8" s="8" t="s">
        <v>46</v>
      </c>
      <c r="D8" s="20" t="s">
        <v>272</v>
      </c>
      <c r="E8" s="17" t="s">
        <v>273</v>
      </c>
      <c r="F8" s="8"/>
      <c r="G8" s="8" t="s">
        <v>49</v>
      </c>
      <c r="H8" s="26"/>
      <c r="I8" s="17"/>
      <c r="J8" s="49"/>
      <c r="K8" s="5" t="s">
        <v>1163</v>
      </c>
      <c r="L8" s="5" t="s">
        <v>71</v>
      </c>
      <c r="M8" s="14" t="s">
        <v>52</v>
      </c>
      <c r="N8" s="14">
        <v>2</v>
      </c>
      <c r="O8" s="14"/>
    </row>
    <row r="9" spans="1:15">
      <c r="A9" s="10" t="s">
        <v>277</v>
      </c>
      <c r="B9" s="8" t="s">
        <v>200</v>
      </c>
      <c r="C9" s="8" t="s">
        <v>46</v>
      </c>
      <c r="D9" s="20" t="s">
        <v>278</v>
      </c>
      <c r="E9" s="17" t="s">
        <v>91</v>
      </c>
      <c r="F9" s="8" t="s">
        <v>267</v>
      </c>
      <c r="G9" s="8" t="s">
        <v>49</v>
      </c>
      <c r="H9" s="8"/>
      <c r="I9" s="8" t="s">
        <v>279</v>
      </c>
      <c r="J9" s="49"/>
      <c r="K9" s="5" t="s">
        <v>1163</v>
      </c>
      <c r="L9" s="5" t="s">
        <v>71</v>
      </c>
      <c r="M9" s="14" t="s">
        <v>52</v>
      </c>
      <c r="N9" s="14">
        <v>2</v>
      </c>
      <c r="O9" s="14"/>
    </row>
    <row r="10" spans="1:15">
      <c r="A10" s="10" t="s">
        <v>280</v>
      </c>
      <c r="B10" s="8" t="s">
        <v>200</v>
      </c>
      <c r="C10" s="8" t="s">
        <v>46</v>
      </c>
      <c r="D10" s="8" t="s">
        <v>281</v>
      </c>
      <c r="E10" s="17" t="s">
        <v>282</v>
      </c>
      <c r="F10" s="8"/>
      <c r="G10" s="8" t="s">
        <v>49</v>
      </c>
      <c r="H10" s="8"/>
      <c r="I10" s="8"/>
      <c r="J10" s="49"/>
      <c r="K10" s="5" t="s">
        <v>1163</v>
      </c>
      <c r="L10" s="5" t="s">
        <v>71</v>
      </c>
      <c r="M10" s="14" t="s">
        <v>52</v>
      </c>
      <c r="N10" s="14">
        <v>2</v>
      </c>
      <c r="O10" s="14"/>
    </row>
    <row r="11" spans="1:15" ht="24.75">
      <c r="A11" s="10" t="s">
        <v>283</v>
      </c>
      <c r="B11" s="8" t="s">
        <v>200</v>
      </c>
      <c r="C11" s="8" t="s">
        <v>46</v>
      </c>
      <c r="D11" s="8" t="s">
        <v>284</v>
      </c>
      <c r="E11" s="17" t="s">
        <v>282</v>
      </c>
      <c r="F11" s="17"/>
      <c r="G11" s="8" t="s">
        <v>49</v>
      </c>
      <c r="H11" s="51"/>
      <c r="I11" s="25" t="s">
        <v>285</v>
      </c>
      <c r="J11" s="49"/>
      <c r="K11" s="5" t="s">
        <v>1163</v>
      </c>
      <c r="L11" s="5" t="s">
        <v>71</v>
      </c>
      <c r="M11" s="14" t="s">
        <v>52</v>
      </c>
      <c r="N11" s="14">
        <v>2</v>
      </c>
      <c r="O11" s="14"/>
    </row>
    <row r="12" spans="1:15">
      <c r="A12" s="10" t="s">
        <v>286</v>
      </c>
      <c r="B12" s="8"/>
      <c r="C12" s="8" t="s">
        <v>46</v>
      </c>
      <c r="D12" s="20">
        <v>0.55000000000000004</v>
      </c>
      <c r="E12" s="8" t="s">
        <v>15</v>
      </c>
      <c r="F12" s="26"/>
      <c r="G12" s="8" t="s">
        <v>49</v>
      </c>
      <c r="H12" s="8"/>
      <c r="I12" s="8" t="s">
        <v>287</v>
      </c>
      <c r="J12" s="49"/>
      <c r="K12" s="5" t="s">
        <v>1163</v>
      </c>
      <c r="L12" s="5" t="s">
        <v>51</v>
      </c>
      <c r="M12" s="14" t="s">
        <v>52</v>
      </c>
      <c r="N12" s="14">
        <v>5</v>
      </c>
      <c r="O12" s="14"/>
    </row>
    <row r="13" spans="1:15">
      <c r="A13" s="10" t="s">
        <v>288</v>
      </c>
      <c r="B13" s="8" t="s">
        <v>289</v>
      </c>
      <c r="C13" s="8" t="s">
        <v>46</v>
      </c>
      <c r="D13" s="20">
        <v>72</v>
      </c>
      <c r="E13" s="8" t="s">
        <v>15</v>
      </c>
      <c r="F13" s="8" t="s">
        <v>454</v>
      </c>
      <c r="G13" s="8" t="s">
        <v>49</v>
      </c>
      <c r="I13" s="8"/>
      <c r="J13" s="49"/>
      <c r="K13" s="5" t="s">
        <v>1163</v>
      </c>
      <c r="L13" s="5" t="s">
        <v>57</v>
      </c>
      <c r="M13" s="14" t="s">
        <v>52</v>
      </c>
      <c r="N13" s="14">
        <v>2</v>
      </c>
      <c r="O13" s="14"/>
    </row>
    <row r="14" spans="1:15">
      <c r="A14" s="48" t="s">
        <v>292</v>
      </c>
      <c r="B14" s="8"/>
      <c r="C14" s="8"/>
      <c r="D14" s="8"/>
      <c r="E14" s="8"/>
      <c r="F14" s="8"/>
      <c r="G14" s="8" t="s">
        <v>49</v>
      </c>
      <c r="H14" s="8" t="s">
        <v>293</v>
      </c>
      <c r="I14" s="8"/>
      <c r="J14" s="49"/>
      <c r="K14" s="5" t="s">
        <v>1163</v>
      </c>
      <c r="L14" s="5"/>
      <c r="M14" s="14" t="s">
        <v>52</v>
      </c>
      <c r="N14" s="14"/>
      <c r="O14" s="14"/>
    </row>
    <row r="15" spans="1:15" ht="24">
      <c r="A15" s="10" t="s">
        <v>294</v>
      </c>
      <c r="B15" s="8" t="s">
        <v>17</v>
      </c>
      <c r="C15" s="8" t="s">
        <v>46</v>
      </c>
      <c r="D15" s="8" t="s">
        <v>295</v>
      </c>
      <c r="E15" s="46" t="s">
        <v>296</v>
      </c>
      <c r="F15" s="8"/>
      <c r="G15" s="8" t="s">
        <v>49</v>
      </c>
      <c r="H15" s="8"/>
      <c r="I15" s="8" t="s">
        <v>297</v>
      </c>
      <c r="J15" s="49"/>
      <c r="K15" s="5" t="s">
        <v>1163</v>
      </c>
      <c r="L15" s="5" t="s">
        <v>71</v>
      </c>
      <c r="M15" s="14" t="s">
        <v>52</v>
      </c>
      <c r="N15" s="14">
        <v>3</v>
      </c>
      <c r="O15" s="14"/>
    </row>
    <row r="16" spans="1:15">
      <c r="A16" s="10" t="s">
        <v>298</v>
      </c>
      <c r="B16" s="17" t="s">
        <v>200</v>
      </c>
      <c r="C16" s="8" t="s">
        <v>46</v>
      </c>
      <c r="D16" s="20" t="s">
        <v>299</v>
      </c>
      <c r="E16" s="17" t="s">
        <v>300</v>
      </c>
      <c r="F16" s="8"/>
      <c r="G16" s="8" t="s">
        <v>49</v>
      </c>
      <c r="H16" s="26" t="s">
        <v>301</v>
      </c>
      <c r="I16" s="17"/>
      <c r="J16" s="49"/>
      <c r="K16" s="5" t="s">
        <v>1163</v>
      </c>
      <c r="L16" s="5" t="s">
        <v>71</v>
      </c>
      <c r="M16" s="14" t="s">
        <v>52</v>
      </c>
      <c r="N16" s="14">
        <v>2</v>
      </c>
      <c r="O16" s="14"/>
    </row>
    <row r="17" spans="1:15">
      <c r="A17" s="10" t="s">
        <v>302</v>
      </c>
      <c r="B17" s="8" t="s">
        <v>200</v>
      </c>
      <c r="C17" s="8" t="s">
        <v>46</v>
      </c>
      <c r="D17" s="8" t="s">
        <v>303</v>
      </c>
      <c r="E17" s="17" t="s">
        <v>91</v>
      </c>
      <c r="F17" s="8" t="s">
        <v>267</v>
      </c>
      <c r="G17" s="8" t="s">
        <v>49</v>
      </c>
      <c r="H17" s="8"/>
      <c r="I17" s="8" t="s">
        <v>279</v>
      </c>
      <c r="J17" s="49"/>
      <c r="K17" s="5" t="s">
        <v>1163</v>
      </c>
      <c r="L17" s="5" t="s">
        <v>71</v>
      </c>
      <c r="M17" s="14" t="s">
        <v>52</v>
      </c>
      <c r="N17" s="14">
        <v>2</v>
      </c>
      <c r="O17" s="14"/>
    </row>
    <row r="18" spans="1:15">
      <c r="A18" s="48" t="s">
        <v>304</v>
      </c>
      <c r="B18" s="8"/>
      <c r="C18" s="8"/>
      <c r="D18" s="8"/>
      <c r="E18" s="8"/>
      <c r="F18" s="8"/>
      <c r="G18" s="8" t="s">
        <v>49</v>
      </c>
      <c r="H18" s="8" t="s">
        <v>305</v>
      </c>
      <c r="I18" s="8"/>
      <c r="J18" s="49"/>
      <c r="K18" s="5" t="s">
        <v>1163</v>
      </c>
      <c r="L18" s="5"/>
      <c r="M18" s="14" t="s">
        <v>52</v>
      </c>
      <c r="N18" s="14"/>
      <c r="O18" s="14"/>
    </row>
    <row r="19" spans="1:15">
      <c r="A19" s="48" t="s">
        <v>306</v>
      </c>
      <c r="B19" s="8"/>
      <c r="C19" s="8"/>
      <c r="D19" s="8"/>
      <c r="E19" s="8"/>
      <c r="F19" s="8"/>
      <c r="G19" s="8" t="s">
        <v>49</v>
      </c>
      <c r="H19" s="8" t="s">
        <v>305</v>
      </c>
      <c r="I19" s="8"/>
      <c r="J19" s="49"/>
      <c r="K19" s="5" t="s">
        <v>1163</v>
      </c>
      <c r="L19" s="5"/>
      <c r="M19" s="14" t="s">
        <v>52</v>
      </c>
      <c r="N19" s="14">
        <v>3</v>
      </c>
      <c r="O19" s="14"/>
    </row>
    <row r="20" spans="1:15" ht="48">
      <c r="A20" s="10" t="s">
        <v>307</v>
      </c>
      <c r="B20" s="17" t="s">
        <v>200</v>
      </c>
      <c r="C20" s="8" t="s">
        <v>46</v>
      </c>
      <c r="D20" s="20" t="s">
        <v>266</v>
      </c>
      <c r="E20" s="17" t="s">
        <v>91</v>
      </c>
      <c r="F20" s="8" t="s">
        <v>267</v>
      </c>
      <c r="G20" s="8" t="s">
        <v>49</v>
      </c>
      <c r="H20" s="8"/>
      <c r="I20" s="17" t="s">
        <v>268</v>
      </c>
      <c r="J20" s="49"/>
      <c r="K20" s="5" t="s">
        <v>1163</v>
      </c>
      <c r="L20" s="5" t="s">
        <v>71</v>
      </c>
      <c r="M20" s="14" t="s">
        <v>52</v>
      </c>
      <c r="N20" s="14">
        <v>1</v>
      </c>
      <c r="O20" s="14"/>
    </row>
    <row r="21" spans="1:15">
      <c r="A21" s="10" t="s">
        <v>308</v>
      </c>
      <c r="B21" s="8" t="s">
        <v>309</v>
      </c>
      <c r="C21" s="8" t="s">
        <v>46</v>
      </c>
      <c r="D21" s="52">
        <v>4.6666666666666696</v>
      </c>
      <c r="E21" s="8" t="s">
        <v>270</v>
      </c>
      <c r="F21" s="8"/>
      <c r="G21" s="8" t="s">
        <v>49</v>
      </c>
      <c r="H21" s="1"/>
      <c r="I21" s="8" t="s">
        <v>310</v>
      </c>
      <c r="J21" s="49"/>
      <c r="K21" s="5" t="s">
        <v>1163</v>
      </c>
      <c r="L21" s="5" t="s">
        <v>71</v>
      </c>
      <c r="M21" s="14" t="s">
        <v>52</v>
      </c>
      <c r="N21" s="14"/>
      <c r="O21" s="14"/>
    </row>
    <row r="22" spans="1:15" ht="24">
      <c r="A22" s="48" t="s">
        <v>314</v>
      </c>
      <c r="B22" s="8"/>
      <c r="C22" s="8"/>
      <c r="D22" s="8"/>
      <c r="E22" s="8"/>
      <c r="F22" s="8"/>
      <c r="G22" s="8" t="s">
        <v>49</v>
      </c>
      <c r="H22" s="26" t="s">
        <v>258</v>
      </c>
      <c r="I22" s="8"/>
      <c r="J22" s="49"/>
      <c r="K22" s="5" t="s">
        <v>1163</v>
      </c>
      <c r="L22" s="5"/>
      <c r="M22" s="14" t="s">
        <v>52</v>
      </c>
      <c r="N22" s="14"/>
      <c r="O22" s="14"/>
    </row>
    <row r="23" spans="1:15" ht="36">
      <c r="A23" s="10" t="s">
        <v>315</v>
      </c>
      <c r="B23" s="17" t="s">
        <v>200</v>
      </c>
      <c r="C23" s="8" t="s">
        <v>46</v>
      </c>
      <c r="D23" s="17" t="s">
        <v>281</v>
      </c>
      <c r="E23" s="17" t="s">
        <v>91</v>
      </c>
      <c r="F23" s="17" t="s">
        <v>267</v>
      </c>
      <c r="G23" s="8" t="s">
        <v>49</v>
      </c>
      <c r="H23" s="17"/>
      <c r="I23" s="17" t="s">
        <v>316</v>
      </c>
      <c r="J23" s="49"/>
      <c r="K23" s="5" t="s">
        <v>1163</v>
      </c>
      <c r="L23" s="5" t="s">
        <v>71</v>
      </c>
      <c r="M23" s="14" t="s">
        <v>52</v>
      </c>
      <c r="N23" s="14">
        <v>2</v>
      </c>
      <c r="O23" s="14"/>
    </row>
    <row r="24" spans="1:15" ht="24">
      <c r="A24" s="10" t="s">
        <v>317</v>
      </c>
      <c r="B24" s="8" t="s">
        <v>200</v>
      </c>
      <c r="C24" s="8" t="s">
        <v>46</v>
      </c>
      <c r="D24" s="8" t="s">
        <v>318</v>
      </c>
      <c r="E24" s="17" t="s">
        <v>319</v>
      </c>
      <c r="F24" s="8" t="s">
        <v>320</v>
      </c>
      <c r="G24" s="8" t="s">
        <v>49</v>
      </c>
      <c r="H24" s="8"/>
      <c r="I24" s="8" t="s">
        <v>279</v>
      </c>
      <c r="J24" s="49"/>
      <c r="K24" s="5" t="s">
        <v>1163</v>
      </c>
      <c r="L24" s="5" t="s">
        <v>71</v>
      </c>
      <c r="M24" s="14" t="s">
        <v>52</v>
      </c>
      <c r="N24" s="14"/>
      <c r="O24" s="14"/>
    </row>
    <row r="25" spans="1:15">
      <c r="A25" s="10" t="s">
        <v>321</v>
      </c>
      <c r="B25" s="8" t="s">
        <v>200</v>
      </c>
      <c r="C25" s="8" t="s">
        <v>46</v>
      </c>
      <c r="D25" s="8" t="s">
        <v>322</v>
      </c>
      <c r="E25" s="8" t="s">
        <v>282</v>
      </c>
      <c r="F25" s="8"/>
      <c r="G25" s="8" t="s">
        <v>49</v>
      </c>
      <c r="H25" s="8"/>
      <c r="I25" s="8"/>
      <c r="J25" s="49"/>
      <c r="K25" s="5" t="s">
        <v>1163</v>
      </c>
      <c r="L25" s="5" t="s">
        <v>71</v>
      </c>
      <c r="M25" s="14" t="s">
        <v>52</v>
      </c>
      <c r="N25" s="14"/>
      <c r="O25" s="14"/>
    </row>
    <row r="26" spans="1:15">
      <c r="A26" s="48" t="s">
        <v>323</v>
      </c>
      <c r="B26" s="8"/>
      <c r="C26" s="8"/>
      <c r="D26" s="8"/>
      <c r="E26" s="8"/>
      <c r="F26" s="8"/>
      <c r="G26" s="8" t="s">
        <v>49</v>
      </c>
      <c r="H26" s="8"/>
      <c r="I26" s="8" t="s">
        <v>324</v>
      </c>
      <c r="J26" s="49"/>
      <c r="K26" s="5" t="s">
        <v>1163</v>
      </c>
      <c r="L26" s="5"/>
      <c r="M26" s="14" t="s">
        <v>52</v>
      </c>
      <c r="N26" s="14"/>
      <c r="O26" s="14"/>
    </row>
    <row r="27" spans="1:15">
      <c r="A27" s="48" t="s">
        <v>325</v>
      </c>
      <c r="B27" s="8"/>
      <c r="C27" s="8"/>
      <c r="D27" s="53"/>
      <c r="E27" s="8"/>
      <c r="F27" s="8"/>
      <c r="G27" s="8" t="s">
        <v>49</v>
      </c>
      <c r="H27" s="8"/>
      <c r="I27" s="8" t="s">
        <v>324</v>
      </c>
      <c r="J27" s="49"/>
      <c r="K27" s="5" t="s">
        <v>1163</v>
      </c>
      <c r="L27" s="5"/>
      <c r="M27" s="14" t="s">
        <v>52</v>
      </c>
      <c r="N27" s="14"/>
      <c r="O27" s="14"/>
    </row>
    <row r="28" spans="1:15">
      <c r="A28" s="10" t="s">
        <v>326</v>
      </c>
      <c r="B28" s="8" t="s">
        <v>200</v>
      </c>
      <c r="C28" s="8" t="s">
        <v>46</v>
      </c>
      <c r="D28" s="8" t="s">
        <v>327</v>
      </c>
      <c r="E28" s="17" t="s">
        <v>91</v>
      </c>
      <c r="F28" s="8" t="s">
        <v>267</v>
      </c>
      <c r="G28" s="8" t="s">
        <v>49</v>
      </c>
      <c r="H28" s="8"/>
      <c r="I28" s="8" t="s">
        <v>279</v>
      </c>
      <c r="J28" s="49"/>
      <c r="K28" s="5" t="s">
        <v>1163</v>
      </c>
      <c r="L28" s="5" t="s">
        <v>71</v>
      </c>
      <c r="M28" s="14" t="s">
        <v>52</v>
      </c>
      <c r="N28" s="14"/>
      <c r="O28" s="14"/>
    </row>
    <row r="29" spans="1:15" ht="24">
      <c r="A29" s="10" t="s">
        <v>328</v>
      </c>
      <c r="B29" s="8" t="s">
        <v>329</v>
      </c>
      <c r="C29" s="8" t="s">
        <v>46</v>
      </c>
      <c r="D29" s="8">
        <v>0.14000000000000001</v>
      </c>
      <c r="E29" s="8" t="s">
        <v>15</v>
      </c>
      <c r="F29" s="8" t="s">
        <v>330</v>
      </c>
      <c r="G29" s="8" t="s">
        <v>49</v>
      </c>
      <c r="H29" s="8"/>
      <c r="I29" s="8"/>
      <c r="J29" s="49"/>
      <c r="K29" s="5" t="s">
        <v>1163</v>
      </c>
      <c r="L29" s="5" t="s">
        <v>140</v>
      </c>
      <c r="M29" s="14" t="s">
        <v>52</v>
      </c>
      <c r="N29" s="14">
        <v>3</v>
      </c>
      <c r="O29" s="14"/>
    </row>
    <row r="30" spans="1:15" ht="36">
      <c r="A30" s="10" t="s">
        <v>331</v>
      </c>
      <c r="B30" s="8" t="s">
        <v>332</v>
      </c>
      <c r="C30" s="8" t="s">
        <v>46</v>
      </c>
      <c r="D30" s="8">
        <v>0.24</v>
      </c>
      <c r="E30" s="8" t="s">
        <v>15</v>
      </c>
      <c r="F30" s="8" t="s">
        <v>333</v>
      </c>
      <c r="G30" s="8" t="s">
        <v>49</v>
      </c>
      <c r="H30" s="8" t="s">
        <v>334</v>
      </c>
      <c r="I30" s="1"/>
      <c r="J30" s="49"/>
      <c r="K30" s="5" t="s">
        <v>1163</v>
      </c>
      <c r="L30" s="5" t="s">
        <v>140</v>
      </c>
      <c r="M30" s="14" t="s">
        <v>52</v>
      </c>
      <c r="N30" s="14">
        <v>3</v>
      </c>
      <c r="O30" s="14"/>
    </row>
    <row r="31" spans="1:15" ht="36">
      <c r="A31" s="10" t="s">
        <v>335</v>
      </c>
      <c r="B31" s="8" t="s">
        <v>200</v>
      </c>
      <c r="C31" s="8" t="s">
        <v>46</v>
      </c>
      <c r="D31" s="8">
        <v>40</v>
      </c>
      <c r="E31" s="8" t="s">
        <v>15</v>
      </c>
      <c r="F31" s="8" t="s">
        <v>455</v>
      </c>
      <c r="G31" s="8" t="s">
        <v>49</v>
      </c>
      <c r="H31" s="8" t="s">
        <v>338</v>
      </c>
      <c r="I31" s="8" t="s">
        <v>456</v>
      </c>
      <c r="J31" s="49"/>
      <c r="K31" s="5" t="s">
        <v>1163</v>
      </c>
      <c r="L31" s="5" t="s">
        <v>71</v>
      </c>
      <c r="M31" s="14" t="s">
        <v>52</v>
      </c>
      <c r="N31" s="14"/>
      <c r="O31" s="14"/>
    </row>
    <row r="32" spans="1:15" ht="24">
      <c r="A32" s="10" t="s">
        <v>340</v>
      </c>
      <c r="B32" s="8" t="s">
        <v>329</v>
      </c>
      <c r="C32" s="8" t="s">
        <v>46</v>
      </c>
      <c r="D32" s="8">
        <v>1</v>
      </c>
      <c r="E32" s="8" t="s">
        <v>15</v>
      </c>
      <c r="F32" s="8" t="s">
        <v>341</v>
      </c>
      <c r="G32" s="8" t="s">
        <v>49</v>
      </c>
      <c r="H32" s="8"/>
      <c r="I32" s="8" t="s">
        <v>342</v>
      </c>
      <c r="J32" s="49"/>
      <c r="K32" s="5" t="s">
        <v>1163</v>
      </c>
      <c r="L32" s="5" t="s">
        <v>71</v>
      </c>
      <c r="M32" s="14" t="s">
        <v>52</v>
      </c>
      <c r="N32" s="14">
        <v>3</v>
      </c>
      <c r="O32" s="14"/>
    </row>
    <row r="33" spans="1:15">
      <c r="A33" s="10" t="s">
        <v>343</v>
      </c>
      <c r="B33" s="8" t="s">
        <v>200</v>
      </c>
      <c r="C33" s="8" t="s">
        <v>46</v>
      </c>
      <c r="D33" s="20" t="s">
        <v>344</v>
      </c>
      <c r="E33" s="17" t="s">
        <v>91</v>
      </c>
      <c r="F33" s="8" t="s">
        <v>267</v>
      </c>
      <c r="G33" s="8" t="s">
        <v>49</v>
      </c>
      <c r="H33" s="8"/>
      <c r="I33" s="8" t="s">
        <v>279</v>
      </c>
      <c r="J33" s="49"/>
      <c r="K33" s="5" t="s">
        <v>1163</v>
      </c>
      <c r="L33" s="5" t="s">
        <v>71</v>
      </c>
      <c r="M33" s="14" t="s">
        <v>52</v>
      </c>
      <c r="N33" s="14">
        <v>2</v>
      </c>
      <c r="O33" s="14"/>
    </row>
    <row r="34" spans="1:15" ht="36.75">
      <c r="A34" s="10" t="s">
        <v>345</v>
      </c>
      <c r="B34" s="8" t="s">
        <v>200</v>
      </c>
      <c r="C34" s="8" t="s">
        <v>46</v>
      </c>
      <c r="D34" s="8" t="s">
        <v>344</v>
      </c>
      <c r="E34" s="17" t="s">
        <v>346</v>
      </c>
      <c r="F34" s="17" t="s">
        <v>347</v>
      </c>
      <c r="G34" s="8" t="s">
        <v>49</v>
      </c>
      <c r="H34" s="51"/>
      <c r="I34" s="25" t="s">
        <v>348</v>
      </c>
      <c r="J34" s="49"/>
      <c r="K34" s="5" t="s">
        <v>1163</v>
      </c>
      <c r="L34" s="5" t="s">
        <v>71</v>
      </c>
      <c r="M34" s="14" t="s">
        <v>52</v>
      </c>
      <c r="N34" s="14">
        <v>2</v>
      </c>
      <c r="O34" s="14"/>
    </row>
    <row r="35" spans="1:15">
      <c r="A35" s="10" t="s">
        <v>349</v>
      </c>
      <c r="B35" s="8" t="s">
        <v>200</v>
      </c>
      <c r="C35" s="8" t="s">
        <v>46</v>
      </c>
      <c r="D35" s="8" t="s">
        <v>327</v>
      </c>
      <c r="E35" s="17" t="s">
        <v>282</v>
      </c>
      <c r="F35" s="8"/>
      <c r="G35" s="8" t="s">
        <v>49</v>
      </c>
      <c r="H35" s="8"/>
      <c r="I35" s="8"/>
      <c r="J35" s="49"/>
      <c r="K35" s="5" t="s">
        <v>1163</v>
      </c>
      <c r="L35" s="5" t="s">
        <v>71</v>
      </c>
      <c r="M35" s="14" t="s">
        <v>52</v>
      </c>
      <c r="N35" s="14">
        <v>2</v>
      </c>
      <c r="O35" s="14"/>
    </row>
    <row r="36" spans="1:15" ht="24">
      <c r="A36" s="28" t="s">
        <v>353</v>
      </c>
      <c r="B36" s="3" t="s">
        <v>1</v>
      </c>
      <c r="C36" s="9" t="s">
        <v>31</v>
      </c>
      <c r="D36" s="9" t="s">
        <v>124</v>
      </c>
      <c r="E36" s="29" t="s">
        <v>125</v>
      </c>
      <c r="F36" s="29" t="s">
        <v>126</v>
      </c>
      <c r="G36" s="58" t="s">
        <v>36</v>
      </c>
      <c r="H36" s="3" t="s">
        <v>37</v>
      </c>
      <c r="I36" s="3" t="s">
        <v>38</v>
      </c>
      <c r="J36" s="29" t="s">
        <v>39</v>
      </c>
      <c r="K36" s="9" t="s">
        <v>40</v>
      </c>
      <c r="L36" s="9" t="s">
        <v>41</v>
      </c>
      <c r="M36" s="9" t="s">
        <v>42</v>
      </c>
      <c r="N36" s="9" t="s">
        <v>43</v>
      </c>
      <c r="O36" s="9" t="s">
        <v>1194</v>
      </c>
    </row>
    <row r="37" spans="1:15" ht="24.75">
      <c r="A37" s="10" t="s">
        <v>354</v>
      </c>
      <c r="B37" s="17" t="s">
        <v>17</v>
      </c>
      <c r="C37" s="8" t="s">
        <v>46</v>
      </c>
      <c r="D37" s="52">
        <v>283.7</v>
      </c>
      <c r="E37" s="17" t="s">
        <v>270</v>
      </c>
      <c r="F37" s="17"/>
      <c r="G37" s="17" t="s">
        <v>49</v>
      </c>
      <c r="H37" s="51"/>
      <c r="I37" s="47" t="s">
        <v>457</v>
      </c>
      <c r="J37" s="49"/>
      <c r="K37" s="5" t="s">
        <v>1164</v>
      </c>
      <c r="L37" s="5" t="s">
        <v>71</v>
      </c>
      <c r="M37" s="14" t="s">
        <v>357</v>
      </c>
      <c r="N37" s="14"/>
      <c r="O37" s="14"/>
    </row>
    <row r="38" spans="1:15">
      <c r="A38" s="10" t="s">
        <v>358</v>
      </c>
      <c r="B38" s="17" t="s">
        <v>309</v>
      </c>
      <c r="C38" s="8" t="s">
        <v>46</v>
      </c>
      <c r="D38" s="52">
        <v>93.3333333333333</v>
      </c>
      <c r="E38" s="17" t="s">
        <v>270</v>
      </c>
      <c r="F38" s="17"/>
      <c r="G38" s="17" t="s">
        <v>49</v>
      </c>
      <c r="H38" s="51"/>
      <c r="I38" s="25"/>
      <c r="J38" s="49"/>
      <c r="K38" s="5" t="s">
        <v>1164</v>
      </c>
      <c r="L38" s="5" t="s">
        <v>71</v>
      </c>
      <c r="M38" s="14" t="s">
        <v>357</v>
      </c>
      <c r="N38" s="14"/>
      <c r="O38" s="14"/>
    </row>
    <row r="39" spans="1:15">
      <c r="A39" s="10" t="s">
        <v>458</v>
      </c>
      <c r="B39" s="17" t="s">
        <v>17</v>
      </c>
      <c r="C39" s="8" t="s">
        <v>46</v>
      </c>
      <c r="D39" s="50">
        <v>28.37</v>
      </c>
      <c r="E39" s="17" t="s">
        <v>270</v>
      </c>
      <c r="F39" s="17"/>
      <c r="G39" s="17" t="s">
        <v>49</v>
      </c>
      <c r="H39" s="17"/>
      <c r="I39" s="33" t="s">
        <v>365</v>
      </c>
      <c r="J39" s="49"/>
      <c r="K39" s="5" t="s">
        <v>1164</v>
      </c>
      <c r="L39" s="5" t="s">
        <v>71</v>
      </c>
      <c r="M39" s="14" t="s">
        <v>357</v>
      </c>
      <c r="N39" s="14"/>
      <c r="O39" s="14"/>
    </row>
    <row r="40" spans="1:15">
      <c r="A40" s="10" t="s">
        <v>459</v>
      </c>
      <c r="B40" s="17" t="s">
        <v>309</v>
      </c>
      <c r="C40" s="8" t="s">
        <v>46</v>
      </c>
      <c r="D40" s="50">
        <v>4.6666666666666696</v>
      </c>
      <c r="E40" s="17" t="s">
        <v>270</v>
      </c>
      <c r="F40" s="17"/>
      <c r="G40" s="17" t="s">
        <v>49</v>
      </c>
      <c r="H40" s="17"/>
      <c r="I40" s="25"/>
      <c r="J40" s="49"/>
      <c r="K40" s="5" t="s">
        <v>1164</v>
      </c>
      <c r="L40" s="5" t="s">
        <v>71</v>
      </c>
      <c r="M40" s="14" t="s">
        <v>357</v>
      </c>
      <c r="N40" s="14"/>
      <c r="O40" s="14"/>
    </row>
    <row r="41" spans="1:15">
      <c r="A41" s="10" t="s">
        <v>364</v>
      </c>
      <c r="B41" s="17" t="s">
        <v>17</v>
      </c>
      <c r="C41" s="8" t="s">
        <v>46</v>
      </c>
      <c r="D41" s="50">
        <v>397.18</v>
      </c>
      <c r="E41" s="17" t="s">
        <v>460</v>
      </c>
      <c r="F41" s="17"/>
      <c r="G41" s="17" t="s">
        <v>49</v>
      </c>
      <c r="H41" s="17"/>
      <c r="I41" s="25"/>
      <c r="J41" s="49"/>
      <c r="K41" s="5" t="s">
        <v>1164</v>
      </c>
      <c r="L41" s="5" t="s">
        <v>71</v>
      </c>
      <c r="M41" s="14" t="s">
        <v>357</v>
      </c>
      <c r="N41" s="14"/>
      <c r="O41" s="14"/>
    </row>
    <row r="42" spans="1:15">
      <c r="A42" s="10" t="s">
        <v>366</v>
      </c>
      <c r="B42" s="17" t="s">
        <v>309</v>
      </c>
      <c r="C42" s="8" t="s">
        <v>46</v>
      </c>
      <c r="D42" s="50">
        <v>4.6666666666666696</v>
      </c>
      <c r="E42" s="17" t="s">
        <v>460</v>
      </c>
      <c r="F42" s="17"/>
      <c r="G42" s="17" t="s">
        <v>49</v>
      </c>
      <c r="H42" s="17"/>
      <c r="I42" s="25"/>
      <c r="J42" s="49"/>
      <c r="K42" s="5" t="s">
        <v>1164</v>
      </c>
      <c r="L42" s="5" t="s">
        <v>71</v>
      </c>
      <c r="M42" s="14" t="s">
        <v>357</v>
      </c>
      <c r="N42" s="14"/>
      <c r="O42" s="14"/>
    </row>
    <row r="43" spans="1:15">
      <c r="A43" s="10" t="s">
        <v>367</v>
      </c>
      <c r="B43" s="17" t="s">
        <v>17</v>
      </c>
      <c r="C43" s="8" t="s">
        <v>46</v>
      </c>
      <c r="D43" s="50">
        <v>283.7</v>
      </c>
      <c r="E43" s="17" t="s">
        <v>270</v>
      </c>
      <c r="F43" s="8"/>
      <c r="G43" s="17" t="s">
        <v>49</v>
      </c>
      <c r="H43" s="8"/>
      <c r="I43" s="25"/>
      <c r="J43" s="49"/>
      <c r="K43" s="5" t="s">
        <v>1164</v>
      </c>
      <c r="L43" s="5" t="s">
        <v>71</v>
      </c>
      <c r="M43" s="14" t="s">
        <v>357</v>
      </c>
      <c r="N43" s="14"/>
      <c r="O43" s="14"/>
    </row>
    <row r="44" spans="1:15">
      <c r="A44" s="10" t="s">
        <v>368</v>
      </c>
      <c r="B44" s="17" t="s">
        <v>309</v>
      </c>
      <c r="C44" s="8" t="s">
        <v>46</v>
      </c>
      <c r="D44" s="50">
        <v>4.6666666666666696</v>
      </c>
      <c r="E44" s="17" t="s">
        <v>270</v>
      </c>
      <c r="F44" s="17"/>
      <c r="G44" s="17" t="s">
        <v>49</v>
      </c>
      <c r="H44" s="17"/>
      <c r="I44" s="25"/>
      <c r="J44" s="49"/>
      <c r="K44" s="5" t="s">
        <v>1164</v>
      </c>
      <c r="L44" s="5" t="s">
        <v>71</v>
      </c>
      <c r="M44" s="14" t="s">
        <v>357</v>
      </c>
      <c r="N44" s="14"/>
      <c r="O44" s="14"/>
    </row>
    <row r="45" spans="1:15">
      <c r="A45" s="10" t="s">
        <v>461</v>
      </c>
      <c r="B45" s="17" t="s">
        <v>17</v>
      </c>
      <c r="C45" s="8" t="s">
        <v>46</v>
      </c>
      <c r="D45" s="50">
        <v>96.457999999999998</v>
      </c>
      <c r="E45" s="17" t="s">
        <v>460</v>
      </c>
      <c r="F45" s="17"/>
      <c r="G45" s="17" t="s">
        <v>49</v>
      </c>
      <c r="H45" s="17"/>
      <c r="I45" s="25" t="s">
        <v>462</v>
      </c>
      <c r="J45" s="49"/>
      <c r="K45" s="5" t="s">
        <v>1164</v>
      </c>
      <c r="L45" s="5" t="s">
        <v>71</v>
      </c>
      <c r="M45" s="14" t="s">
        <v>357</v>
      </c>
      <c r="N45" s="14"/>
      <c r="O45" s="14"/>
    </row>
    <row r="46" spans="1:15">
      <c r="A46" s="10" t="s">
        <v>463</v>
      </c>
      <c r="B46" s="17" t="s">
        <v>309</v>
      </c>
      <c r="C46" s="8" t="s">
        <v>46</v>
      </c>
      <c r="D46" s="50">
        <v>15.3066666666667</v>
      </c>
      <c r="E46" s="17" t="s">
        <v>270</v>
      </c>
      <c r="F46" s="17"/>
      <c r="G46" s="17" t="s">
        <v>49</v>
      </c>
      <c r="H46" s="17"/>
      <c r="I46" s="25"/>
      <c r="J46" s="49"/>
      <c r="K46" s="5" t="s">
        <v>1164</v>
      </c>
      <c r="L46" s="5" t="s">
        <v>71</v>
      </c>
      <c r="M46" s="14" t="s">
        <v>357</v>
      </c>
      <c r="N46" s="14"/>
      <c r="O46" s="14"/>
    </row>
    <row r="47" spans="1:15">
      <c r="A47" s="10" t="s">
        <v>464</v>
      </c>
      <c r="B47" s="17" t="s">
        <v>17</v>
      </c>
      <c r="C47" s="8" t="s">
        <v>46</v>
      </c>
      <c r="D47" s="52">
        <v>68.087999999999994</v>
      </c>
      <c r="E47" s="26" t="s">
        <v>270</v>
      </c>
      <c r="F47" s="17"/>
      <c r="G47" s="17" t="s">
        <v>49</v>
      </c>
      <c r="H47" s="17"/>
      <c r="I47" s="25"/>
      <c r="J47" s="49"/>
      <c r="K47" s="5" t="s">
        <v>1164</v>
      </c>
      <c r="L47" s="5" t="s">
        <v>71</v>
      </c>
      <c r="M47" s="14" t="s">
        <v>357</v>
      </c>
      <c r="N47" s="14"/>
      <c r="O47" s="14"/>
    </row>
    <row r="48" spans="1:15">
      <c r="A48" s="10" t="s">
        <v>465</v>
      </c>
      <c r="B48" s="17" t="s">
        <v>309</v>
      </c>
      <c r="C48" s="8" t="s">
        <v>46</v>
      </c>
      <c r="D48" s="50">
        <v>10.64</v>
      </c>
      <c r="E48" s="17" t="s">
        <v>270</v>
      </c>
      <c r="F48" s="17"/>
      <c r="G48" s="17" t="s">
        <v>49</v>
      </c>
      <c r="H48" s="17"/>
      <c r="I48" s="25"/>
      <c r="J48" s="49"/>
      <c r="K48" s="5" t="s">
        <v>1164</v>
      </c>
      <c r="L48" s="5" t="s">
        <v>71</v>
      </c>
      <c r="M48" s="14" t="s">
        <v>357</v>
      </c>
      <c r="N48" s="14"/>
      <c r="O48" s="14"/>
    </row>
    <row r="49" spans="1:15">
      <c r="A49" s="10" t="s">
        <v>466</v>
      </c>
      <c r="B49" s="17" t="s">
        <v>200</v>
      </c>
      <c r="C49" s="8" t="s">
        <v>46</v>
      </c>
      <c r="D49" s="50">
        <v>40</v>
      </c>
      <c r="E49" s="17" t="s">
        <v>363</v>
      </c>
      <c r="F49" s="17">
        <v>409</v>
      </c>
      <c r="G49" s="17" t="s">
        <v>49</v>
      </c>
      <c r="H49" s="17"/>
      <c r="I49" s="25"/>
      <c r="J49" s="49"/>
      <c r="K49" s="5" t="s">
        <v>1164</v>
      </c>
      <c r="L49" s="5" t="s">
        <v>71</v>
      </c>
      <c r="M49" s="14" t="s">
        <v>357</v>
      </c>
      <c r="N49" s="14">
        <v>2</v>
      </c>
      <c r="O49" s="14"/>
    </row>
    <row r="50" spans="1:15">
      <c r="A50" s="10" t="s">
        <v>369</v>
      </c>
      <c r="B50" s="17" t="s">
        <v>17</v>
      </c>
      <c r="C50" s="8" t="s">
        <v>46</v>
      </c>
      <c r="D50" s="50">
        <v>113.48</v>
      </c>
      <c r="E50" s="17" t="s">
        <v>270</v>
      </c>
      <c r="F50" s="55"/>
      <c r="G50" s="17" t="s">
        <v>49</v>
      </c>
      <c r="H50" s="55"/>
      <c r="I50" s="25"/>
      <c r="J50" s="49"/>
      <c r="K50" s="5" t="s">
        <v>1164</v>
      </c>
      <c r="L50" s="5" t="s">
        <v>71</v>
      </c>
      <c r="M50" s="14" t="s">
        <v>357</v>
      </c>
      <c r="N50" s="14"/>
      <c r="O50" s="14"/>
    </row>
    <row r="51" spans="1:15">
      <c r="A51" s="10" t="s">
        <v>370</v>
      </c>
      <c r="B51" s="17" t="s">
        <v>309</v>
      </c>
      <c r="C51" s="8" t="s">
        <v>46</v>
      </c>
      <c r="D51" s="50">
        <v>17.733333333333299</v>
      </c>
      <c r="E51" s="17" t="s">
        <v>270</v>
      </c>
      <c r="F51" s="17"/>
      <c r="G51" s="17" t="s">
        <v>49</v>
      </c>
      <c r="H51" s="17"/>
      <c r="I51" s="25"/>
      <c r="J51" s="49"/>
      <c r="K51" s="5" t="s">
        <v>1164</v>
      </c>
      <c r="L51" s="5" t="s">
        <v>71</v>
      </c>
      <c r="M51" s="14" t="s">
        <v>357</v>
      </c>
      <c r="N51" s="14"/>
      <c r="O51" s="14"/>
    </row>
    <row r="52" spans="1:15">
      <c r="A52" s="10" t="s">
        <v>371</v>
      </c>
      <c r="B52" s="17" t="s">
        <v>17</v>
      </c>
      <c r="C52" s="8" t="s">
        <v>46</v>
      </c>
      <c r="D52" s="50">
        <v>114.6148</v>
      </c>
      <c r="E52" s="17" t="s">
        <v>270</v>
      </c>
      <c r="F52" s="17"/>
      <c r="G52" s="17" t="s">
        <v>49</v>
      </c>
      <c r="H52" s="17"/>
      <c r="I52" s="59"/>
      <c r="J52" s="49"/>
      <c r="K52" s="5" t="s">
        <v>1164</v>
      </c>
      <c r="L52" s="5" t="s">
        <v>71</v>
      </c>
      <c r="M52" s="14" t="s">
        <v>357</v>
      </c>
      <c r="N52" s="14"/>
      <c r="O52" s="14"/>
    </row>
    <row r="53" spans="1:15">
      <c r="A53" s="10" t="s">
        <v>373</v>
      </c>
      <c r="B53" s="17" t="s">
        <v>309</v>
      </c>
      <c r="C53" s="8" t="s">
        <v>46</v>
      </c>
      <c r="D53" s="50">
        <v>3.7333333333333298</v>
      </c>
      <c r="E53" s="17" t="s">
        <v>270</v>
      </c>
      <c r="F53" s="17"/>
      <c r="G53" s="17" t="s">
        <v>49</v>
      </c>
      <c r="H53" s="17"/>
      <c r="I53" s="25"/>
      <c r="J53" s="49"/>
      <c r="K53" s="5" t="s">
        <v>1164</v>
      </c>
      <c r="L53" s="5" t="s">
        <v>71</v>
      </c>
      <c r="M53" s="14" t="s">
        <v>357</v>
      </c>
      <c r="N53" s="14"/>
      <c r="O53" s="14"/>
    </row>
    <row r="54" spans="1:15">
      <c r="A54" s="10" t="s">
        <v>374</v>
      </c>
      <c r="B54" s="17" t="s">
        <v>17</v>
      </c>
      <c r="C54" s="8" t="s">
        <v>46</v>
      </c>
      <c r="D54" s="52">
        <v>141.85</v>
      </c>
      <c r="E54" s="17" t="s">
        <v>467</v>
      </c>
      <c r="F54" s="17"/>
      <c r="G54" s="17" t="s">
        <v>49</v>
      </c>
      <c r="H54" s="51"/>
      <c r="I54" s="59"/>
      <c r="J54" s="49"/>
      <c r="K54" s="5" t="s">
        <v>1164</v>
      </c>
      <c r="L54" s="5" t="s">
        <v>71</v>
      </c>
      <c r="M54" s="14" t="s">
        <v>357</v>
      </c>
      <c r="N54" s="14"/>
      <c r="O54" s="14"/>
    </row>
    <row r="55" spans="1:15">
      <c r="A55" s="10" t="s">
        <v>376</v>
      </c>
      <c r="B55" s="17" t="s">
        <v>309</v>
      </c>
      <c r="C55" s="8" t="s">
        <v>46</v>
      </c>
      <c r="D55" s="52">
        <v>1.86666666666667</v>
      </c>
      <c r="E55" s="17" t="s">
        <v>425</v>
      </c>
      <c r="F55" s="17"/>
      <c r="G55" s="17" t="s">
        <v>49</v>
      </c>
      <c r="H55" s="51"/>
      <c r="I55" s="33" t="s">
        <v>377</v>
      </c>
      <c r="J55" s="49"/>
      <c r="K55" s="5" t="s">
        <v>1164</v>
      </c>
      <c r="L55" s="5" t="s">
        <v>71</v>
      </c>
      <c r="M55" s="14" t="s">
        <v>357</v>
      </c>
      <c r="N55" s="14"/>
      <c r="O55" s="14"/>
    </row>
    <row r="56" spans="1:15" ht="24.75">
      <c r="A56" s="10" t="s">
        <v>468</v>
      </c>
      <c r="B56" s="17" t="s">
        <v>17</v>
      </c>
      <c r="C56" s="8" t="s">
        <v>46</v>
      </c>
      <c r="D56" s="52">
        <v>19.859000000000002</v>
      </c>
      <c r="E56" s="17" t="s">
        <v>270</v>
      </c>
      <c r="F56" s="60"/>
      <c r="G56" s="17" t="s">
        <v>49</v>
      </c>
      <c r="H56" s="51"/>
      <c r="I56" s="33" t="s">
        <v>469</v>
      </c>
      <c r="J56" s="49"/>
      <c r="K56" s="5" t="s">
        <v>1164</v>
      </c>
      <c r="L56" s="5" t="s">
        <v>71</v>
      </c>
      <c r="M56" s="14" t="s">
        <v>357</v>
      </c>
      <c r="N56" s="14"/>
      <c r="O56" s="14"/>
    </row>
    <row r="57" spans="1:15" ht="24.75">
      <c r="A57" s="10" t="s">
        <v>470</v>
      </c>
      <c r="B57" s="17" t="s">
        <v>309</v>
      </c>
      <c r="C57" s="8" t="s">
        <v>46</v>
      </c>
      <c r="D57" s="52">
        <v>0.18666666666666701</v>
      </c>
      <c r="E57" s="17" t="s">
        <v>270</v>
      </c>
      <c r="F57" s="17"/>
      <c r="G57" s="17" t="s">
        <v>49</v>
      </c>
      <c r="H57" s="51"/>
      <c r="I57" s="33" t="s">
        <v>469</v>
      </c>
      <c r="J57" s="49"/>
      <c r="K57" s="5" t="s">
        <v>1164</v>
      </c>
      <c r="L57" s="5" t="s">
        <v>71</v>
      </c>
      <c r="M57" s="14" t="s">
        <v>357</v>
      </c>
      <c r="N57" s="14"/>
      <c r="O57" s="14"/>
    </row>
    <row r="58" spans="1:15" ht="24.75">
      <c r="A58" s="10" t="s">
        <v>471</v>
      </c>
      <c r="B58" s="17" t="s">
        <v>17</v>
      </c>
      <c r="C58" s="8" t="s">
        <v>46</v>
      </c>
      <c r="D58" s="52">
        <v>14.185</v>
      </c>
      <c r="E58" s="17" t="s">
        <v>270</v>
      </c>
      <c r="F58" s="17"/>
      <c r="G58" s="17" t="s">
        <v>49</v>
      </c>
      <c r="H58" s="51"/>
      <c r="I58" s="33" t="s">
        <v>469</v>
      </c>
      <c r="J58" s="49"/>
      <c r="K58" s="5" t="s">
        <v>1164</v>
      </c>
      <c r="L58" s="5" t="s">
        <v>71</v>
      </c>
      <c r="M58" s="14" t="s">
        <v>357</v>
      </c>
      <c r="N58" s="14"/>
      <c r="O58" s="14"/>
    </row>
    <row r="59" spans="1:15" ht="24.75">
      <c r="A59" s="10" t="s">
        <v>472</v>
      </c>
      <c r="B59" s="17" t="s">
        <v>309</v>
      </c>
      <c r="C59" s="8" t="s">
        <v>46</v>
      </c>
      <c r="D59" s="52">
        <v>0.18666666666666701</v>
      </c>
      <c r="E59" s="17" t="s">
        <v>270</v>
      </c>
      <c r="F59" s="17"/>
      <c r="G59" s="17" t="s">
        <v>49</v>
      </c>
      <c r="H59" s="51"/>
      <c r="I59" s="33" t="s">
        <v>469</v>
      </c>
      <c r="J59" s="49"/>
      <c r="K59" s="5" t="s">
        <v>1164</v>
      </c>
      <c r="L59" s="5" t="s">
        <v>71</v>
      </c>
      <c r="M59" s="14" t="s">
        <v>357</v>
      </c>
      <c r="N59" s="14"/>
      <c r="O59" s="14"/>
    </row>
    <row r="60" spans="1:15" ht="24.75">
      <c r="A60" s="10" t="s">
        <v>473</v>
      </c>
      <c r="B60" s="17" t="s">
        <v>17</v>
      </c>
      <c r="C60" s="8" t="s">
        <v>46</v>
      </c>
      <c r="D60" s="52">
        <v>39.718000000000004</v>
      </c>
      <c r="E60" s="17" t="s">
        <v>270</v>
      </c>
      <c r="F60" s="17"/>
      <c r="G60" s="17" t="s">
        <v>49</v>
      </c>
      <c r="H60" s="51"/>
      <c r="I60" s="33" t="s">
        <v>469</v>
      </c>
      <c r="J60" s="49"/>
      <c r="K60" s="5" t="s">
        <v>1164</v>
      </c>
      <c r="L60" s="5" t="s">
        <v>71</v>
      </c>
      <c r="M60" s="14" t="s">
        <v>357</v>
      </c>
      <c r="N60" s="14"/>
      <c r="O60" s="14"/>
    </row>
    <row r="61" spans="1:15" ht="24.75">
      <c r="A61" s="10" t="s">
        <v>474</v>
      </c>
      <c r="B61" s="17" t="s">
        <v>309</v>
      </c>
      <c r="C61" s="8" t="s">
        <v>46</v>
      </c>
      <c r="D61" s="52">
        <v>0.63466666666666705</v>
      </c>
      <c r="E61" s="17" t="s">
        <v>270</v>
      </c>
      <c r="F61" s="17"/>
      <c r="G61" s="17" t="s">
        <v>49</v>
      </c>
      <c r="H61" s="51"/>
      <c r="I61" s="33" t="s">
        <v>469</v>
      </c>
      <c r="J61" s="49"/>
      <c r="K61" s="5" t="s">
        <v>1164</v>
      </c>
      <c r="L61" s="5" t="s">
        <v>71</v>
      </c>
      <c r="M61" s="14" t="s">
        <v>357</v>
      </c>
      <c r="N61" s="14"/>
      <c r="O61" s="14"/>
    </row>
    <row r="62" spans="1:15" ht="24.75">
      <c r="A62" s="10" t="s">
        <v>475</v>
      </c>
      <c r="B62" s="17" t="s">
        <v>17</v>
      </c>
      <c r="C62" s="8" t="s">
        <v>46</v>
      </c>
      <c r="D62" s="52">
        <v>8.5109999999999992</v>
      </c>
      <c r="E62" s="17" t="s">
        <v>270</v>
      </c>
      <c r="F62" s="17"/>
      <c r="G62" s="17" t="s">
        <v>49</v>
      </c>
      <c r="H62" s="51"/>
      <c r="I62" s="33" t="s">
        <v>469</v>
      </c>
      <c r="J62" s="49"/>
      <c r="K62" s="5" t="s">
        <v>1164</v>
      </c>
      <c r="L62" s="5" t="s">
        <v>71</v>
      </c>
      <c r="M62" s="14" t="s">
        <v>357</v>
      </c>
      <c r="N62" s="14"/>
      <c r="O62" s="14"/>
    </row>
    <row r="63" spans="1:15" ht="24.75">
      <c r="A63" s="10" t="s">
        <v>476</v>
      </c>
      <c r="B63" s="17" t="s">
        <v>309</v>
      </c>
      <c r="C63" s="8" t="s">
        <v>46</v>
      </c>
      <c r="D63" s="52">
        <v>0.18666666666666701</v>
      </c>
      <c r="E63" s="17" t="s">
        <v>270</v>
      </c>
      <c r="F63" s="17"/>
      <c r="G63" s="17" t="s">
        <v>49</v>
      </c>
      <c r="H63" s="51"/>
      <c r="I63" s="33" t="s">
        <v>469</v>
      </c>
      <c r="J63" s="49"/>
      <c r="K63" s="5" t="s">
        <v>1164</v>
      </c>
      <c r="L63" s="5" t="s">
        <v>71</v>
      </c>
      <c r="M63" s="14" t="s">
        <v>357</v>
      </c>
      <c r="N63" s="14"/>
      <c r="O63" s="14"/>
    </row>
    <row r="64" spans="1:15">
      <c r="A64" s="10" t="s">
        <v>378</v>
      </c>
      <c r="B64" s="17" t="s">
        <v>17</v>
      </c>
      <c r="C64" s="20" t="s">
        <v>379</v>
      </c>
      <c r="D64" s="8" t="s">
        <v>380</v>
      </c>
      <c r="E64" s="17" t="s">
        <v>381</v>
      </c>
      <c r="F64" s="17"/>
      <c r="G64" s="17" t="s">
        <v>49</v>
      </c>
      <c r="H64" s="51"/>
      <c r="I64" s="25"/>
      <c r="J64" s="49"/>
      <c r="K64" s="5" t="s">
        <v>1164</v>
      </c>
      <c r="L64" s="5" t="s">
        <v>71</v>
      </c>
      <c r="M64" s="14" t="s">
        <v>357</v>
      </c>
      <c r="N64" s="14">
        <v>6</v>
      </c>
      <c r="O64" s="14"/>
    </row>
    <row r="65" spans="1:15">
      <c r="A65" s="10" t="s">
        <v>378</v>
      </c>
      <c r="B65" s="17" t="s">
        <v>17</v>
      </c>
      <c r="C65" s="20" t="s">
        <v>382</v>
      </c>
      <c r="D65" s="8" t="s">
        <v>383</v>
      </c>
      <c r="E65" s="17" t="s">
        <v>381</v>
      </c>
      <c r="F65" s="17"/>
      <c r="G65" s="17" t="s">
        <v>49</v>
      </c>
      <c r="H65" s="51"/>
      <c r="I65" s="25"/>
      <c r="J65" s="49"/>
      <c r="K65" s="5" t="s">
        <v>1164</v>
      </c>
      <c r="L65" s="5" t="s">
        <v>71</v>
      </c>
      <c r="M65" s="14" t="s">
        <v>357</v>
      </c>
      <c r="N65" s="14">
        <v>6</v>
      </c>
      <c r="O65" s="14"/>
    </row>
    <row r="66" spans="1:15">
      <c r="A66" s="10" t="s">
        <v>384</v>
      </c>
      <c r="B66" s="17" t="s">
        <v>200</v>
      </c>
      <c r="C66" s="20" t="s">
        <v>379</v>
      </c>
      <c r="D66" s="8" t="s">
        <v>281</v>
      </c>
      <c r="E66" s="17" t="s">
        <v>282</v>
      </c>
      <c r="F66" s="17"/>
      <c r="G66" s="17" t="s">
        <v>49</v>
      </c>
      <c r="H66" s="51"/>
      <c r="I66" s="25"/>
      <c r="J66" s="49"/>
      <c r="K66" s="5" t="s">
        <v>1164</v>
      </c>
      <c r="L66" s="5" t="s">
        <v>71</v>
      </c>
      <c r="M66" s="14" t="s">
        <v>357</v>
      </c>
      <c r="N66" s="14">
        <v>6</v>
      </c>
      <c r="O66" s="14"/>
    </row>
    <row r="67" spans="1:15" ht="36.75">
      <c r="A67" s="10" t="s">
        <v>384</v>
      </c>
      <c r="B67" s="17" t="s">
        <v>200</v>
      </c>
      <c r="C67" s="20" t="s">
        <v>382</v>
      </c>
      <c r="D67" s="8" t="s">
        <v>344</v>
      </c>
      <c r="E67" s="17" t="s">
        <v>346</v>
      </c>
      <c r="F67" s="17" t="s">
        <v>347</v>
      </c>
      <c r="G67" s="17" t="s">
        <v>49</v>
      </c>
      <c r="H67" s="51"/>
      <c r="I67" s="25" t="s">
        <v>348</v>
      </c>
      <c r="J67" s="49"/>
      <c r="K67" s="5" t="s">
        <v>1164</v>
      </c>
      <c r="L67" s="5" t="s">
        <v>71</v>
      </c>
      <c r="M67" s="14" t="s">
        <v>357</v>
      </c>
      <c r="N67" s="14">
        <v>6</v>
      </c>
      <c r="O67" s="14"/>
    </row>
    <row r="68" spans="1:15">
      <c r="A68" s="10" t="s">
        <v>385</v>
      </c>
      <c r="B68" s="17" t="s">
        <v>309</v>
      </c>
      <c r="C68" s="8" t="s">
        <v>46</v>
      </c>
      <c r="D68" s="8">
        <v>94.7</v>
      </c>
      <c r="E68" s="17" t="s">
        <v>270</v>
      </c>
      <c r="F68" s="17"/>
      <c r="G68" s="17" t="s">
        <v>49</v>
      </c>
      <c r="H68" s="51"/>
      <c r="I68" s="25"/>
      <c r="J68" s="49"/>
      <c r="K68" s="5" t="s">
        <v>1164</v>
      </c>
      <c r="L68" s="5" t="s">
        <v>71</v>
      </c>
      <c r="M68" s="14" t="s">
        <v>357</v>
      </c>
      <c r="N68" s="14"/>
      <c r="O68" s="14"/>
    </row>
    <row r="69" spans="1:15" ht="36">
      <c r="A69" s="10" t="s">
        <v>386</v>
      </c>
      <c r="B69" s="17" t="s">
        <v>17</v>
      </c>
      <c r="C69" s="8" t="s">
        <v>46</v>
      </c>
      <c r="D69" s="26" t="s">
        <v>477</v>
      </c>
      <c r="E69" s="26" t="s">
        <v>478</v>
      </c>
      <c r="F69" s="17"/>
      <c r="G69" s="17" t="s">
        <v>49</v>
      </c>
      <c r="H69" s="51"/>
      <c r="I69" s="33" t="s">
        <v>479</v>
      </c>
      <c r="J69" s="49"/>
      <c r="K69" s="5" t="s">
        <v>1164</v>
      </c>
      <c r="L69" s="5" t="s">
        <v>71</v>
      </c>
      <c r="M69" s="14" t="s">
        <v>357</v>
      </c>
      <c r="N69" s="14"/>
      <c r="O69" s="14"/>
    </row>
    <row r="70" spans="1:15">
      <c r="A70" s="10" t="s">
        <v>388</v>
      </c>
      <c r="B70" s="17" t="s">
        <v>309</v>
      </c>
      <c r="C70" s="8" t="s">
        <v>46</v>
      </c>
      <c r="D70" s="50">
        <v>8.8666666666666707</v>
      </c>
      <c r="E70" s="17" t="s">
        <v>270</v>
      </c>
      <c r="F70" s="17"/>
      <c r="G70" s="17" t="s">
        <v>49</v>
      </c>
      <c r="H70" s="51"/>
      <c r="I70" s="25" t="s">
        <v>480</v>
      </c>
      <c r="J70" s="49"/>
      <c r="K70" s="5" t="s">
        <v>1164</v>
      </c>
      <c r="L70" s="5" t="s">
        <v>71</v>
      </c>
      <c r="M70" s="14" t="s">
        <v>357</v>
      </c>
      <c r="N70" s="14"/>
      <c r="O70" s="14"/>
    </row>
    <row r="71" spans="1:15">
      <c r="A71" s="10" t="s">
        <v>390</v>
      </c>
      <c r="B71" s="17" t="s">
        <v>17</v>
      </c>
      <c r="C71" s="8" t="s">
        <v>46</v>
      </c>
      <c r="D71" s="8">
        <v>283.7</v>
      </c>
      <c r="E71" s="17" t="s">
        <v>467</v>
      </c>
      <c r="F71" s="17"/>
      <c r="G71" s="17" t="s">
        <v>49</v>
      </c>
      <c r="H71" s="51"/>
      <c r="I71" s="33" t="s">
        <v>481</v>
      </c>
      <c r="J71" s="49"/>
      <c r="K71" s="5" t="s">
        <v>1164</v>
      </c>
      <c r="L71" s="5" t="s">
        <v>71</v>
      </c>
      <c r="M71" s="14" t="s">
        <v>357</v>
      </c>
      <c r="N71" s="14"/>
      <c r="O71" s="14"/>
    </row>
    <row r="72" spans="1:15">
      <c r="A72" s="10" t="s">
        <v>391</v>
      </c>
      <c r="B72" s="17" t="s">
        <v>309</v>
      </c>
      <c r="C72" s="8" t="s">
        <v>46</v>
      </c>
      <c r="D72" s="52">
        <v>5.8333333333333304</v>
      </c>
      <c r="E72" s="17" t="s">
        <v>482</v>
      </c>
      <c r="F72" s="17"/>
      <c r="G72" s="17" t="s">
        <v>49</v>
      </c>
      <c r="H72" s="51"/>
      <c r="I72" s="33" t="s">
        <v>483</v>
      </c>
      <c r="J72" s="49"/>
      <c r="K72" s="5" t="s">
        <v>1164</v>
      </c>
      <c r="L72" s="5" t="s">
        <v>71</v>
      </c>
      <c r="M72" s="14" t="s">
        <v>357</v>
      </c>
      <c r="N72" s="14"/>
      <c r="O72" s="14"/>
    </row>
    <row r="73" spans="1:15" ht="24.75">
      <c r="A73" s="10" t="s">
        <v>484</v>
      </c>
      <c r="B73" s="17" t="s">
        <v>17</v>
      </c>
      <c r="C73" s="8" t="s">
        <v>46</v>
      </c>
      <c r="D73" s="52">
        <v>39.718000000000004</v>
      </c>
      <c r="E73" s="17" t="s">
        <v>270</v>
      </c>
      <c r="F73" s="17"/>
      <c r="G73" s="17" t="s">
        <v>49</v>
      </c>
      <c r="H73" s="51"/>
      <c r="I73" s="33" t="s">
        <v>469</v>
      </c>
      <c r="J73" s="49"/>
      <c r="K73" s="5" t="s">
        <v>1164</v>
      </c>
      <c r="L73" s="5" t="s">
        <v>71</v>
      </c>
      <c r="M73" s="14" t="s">
        <v>357</v>
      </c>
      <c r="N73" s="14"/>
      <c r="O73" s="14"/>
    </row>
    <row r="74" spans="1:15" ht="24.75">
      <c r="A74" s="10" t="s">
        <v>485</v>
      </c>
      <c r="B74" s="17" t="s">
        <v>309</v>
      </c>
      <c r="C74" s="8" t="s">
        <v>46</v>
      </c>
      <c r="D74" s="52">
        <v>0.58333333333333304</v>
      </c>
      <c r="E74" s="17" t="s">
        <v>270</v>
      </c>
      <c r="F74" s="60"/>
      <c r="G74" s="17" t="s">
        <v>49</v>
      </c>
      <c r="H74" s="51"/>
      <c r="I74" s="33" t="s">
        <v>469</v>
      </c>
      <c r="J74" s="49"/>
      <c r="K74" s="5" t="s">
        <v>1164</v>
      </c>
      <c r="L74" s="5" t="s">
        <v>71</v>
      </c>
      <c r="M74" s="14" t="s">
        <v>357</v>
      </c>
      <c r="N74" s="14"/>
      <c r="O74" s="14"/>
    </row>
    <row r="75" spans="1:15" ht="24.75">
      <c r="A75" s="10" t="s">
        <v>486</v>
      </c>
      <c r="B75" s="17" t="s">
        <v>17</v>
      </c>
      <c r="C75" s="8" t="s">
        <v>46</v>
      </c>
      <c r="D75" s="52">
        <v>28.37</v>
      </c>
      <c r="E75" s="17" t="s">
        <v>270</v>
      </c>
      <c r="F75" s="17"/>
      <c r="G75" s="17" t="s">
        <v>49</v>
      </c>
      <c r="H75" s="51"/>
      <c r="I75" s="33" t="s">
        <v>469</v>
      </c>
      <c r="J75" s="49"/>
      <c r="K75" s="5" t="s">
        <v>1164</v>
      </c>
      <c r="L75" s="5" t="s">
        <v>71</v>
      </c>
      <c r="M75" s="14" t="s">
        <v>357</v>
      </c>
      <c r="N75" s="14"/>
      <c r="O75" s="14"/>
    </row>
    <row r="76" spans="1:15" ht="24.75">
      <c r="A76" s="10" t="s">
        <v>487</v>
      </c>
      <c r="B76" s="17" t="s">
        <v>309</v>
      </c>
      <c r="C76" s="8" t="s">
        <v>46</v>
      </c>
      <c r="D76" s="52">
        <v>0.58333333333333304</v>
      </c>
      <c r="E76" s="17" t="s">
        <v>270</v>
      </c>
      <c r="F76" s="17"/>
      <c r="G76" s="17" t="s">
        <v>49</v>
      </c>
      <c r="H76" s="51"/>
      <c r="I76" s="33" t="s">
        <v>469</v>
      </c>
      <c r="J76" s="49"/>
      <c r="K76" s="5" t="s">
        <v>1164</v>
      </c>
      <c r="L76" s="5" t="s">
        <v>71</v>
      </c>
      <c r="M76" s="14" t="s">
        <v>357</v>
      </c>
      <c r="N76" s="14"/>
      <c r="O76" s="14"/>
    </row>
    <row r="77" spans="1:15" ht="24.75">
      <c r="A77" s="10" t="s">
        <v>488</v>
      </c>
      <c r="B77" s="17" t="s">
        <v>17</v>
      </c>
      <c r="C77" s="8" t="s">
        <v>46</v>
      </c>
      <c r="D77" s="52">
        <v>79.436000000000007</v>
      </c>
      <c r="E77" s="17" t="s">
        <v>270</v>
      </c>
      <c r="F77" s="17"/>
      <c r="G77" s="17" t="s">
        <v>49</v>
      </c>
      <c r="H77" s="51"/>
      <c r="I77" s="33" t="s">
        <v>469</v>
      </c>
      <c r="J77" s="49"/>
      <c r="K77" s="5" t="s">
        <v>1164</v>
      </c>
      <c r="L77" s="5" t="s">
        <v>71</v>
      </c>
      <c r="M77" s="14" t="s">
        <v>357</v>
      </c>
      <c r="N77" s="14"/>
      <c r="O77" s="14"/>
    </row>
    <row r="78" spans="1:15" ht="24.75">
      <c r="A78" s="10" t="s">
        <v>489</v>
      </c>
      <c r="B78" s="17" t="s">
        <v>309</v>
      </c>
      <c r="C78" s="8" t="s">
        <v>46</v>
      </c>
      <c r="D78" s="52">
        <v>1.9833333333333301</v>
      </c>
      <c r="E78" s="17" t="s">
        <v>270</v>
      </c>
      <c r="F78" s="17"/>
      <c r="G78" s="17" t="s">
        <v>49</v>
      </c>
      <c r="H78" s="51"/>
      <c r="I78" s="33" t="s">
        <v>469</v>
      </c>
      <c r="J78" s="49"/>
      <c r="K78" s="5" t="s">
        <v>1164</v>
      </c>
      <c r="L78" s="5" t="s">
        <v>71</v>
      </c>
      <c r="M78" s="14" t="s">
        <v>357</v>
      </c>
      <c r="N78" s="14"/>
      <c r="O78" s="14"/>
    </row>
    <row r="79" spans="1:15" ht="24.75">
      <c r="A79" s="10" t="s">
        <v>490</v>
      </c>
      <c r="B79" s="17" t="s">
        <v>17</v>
      </c>
      <c r="C79" s="8" t="s">
        <v>46</v>
      </c>
      <c r="D79" s="52">
        <v>17.021999999999998</v>
      </c>
      <c r="E79" s="17" t="s">
        <v>270</v>
      </c>
      <c r="F79" s="17"/>
      <c r="G79" s="17" t="s">
        <v>49</v>
      </c>
      <c r="H79" s="51"/>
      <c r="I79" s="33" t="s">
        <v>469</v>
      </c>
      <c r="J79" s="49"/>
      <c r="K79" s="5" t="s">
        <v>1164</v>
      </c>
      <c r="L79" s="5" t="s">
        <v>71</v>
      </c>
      <c r="M79" s="14" t="s">
        <v>357</v>
      </c>
      <c r="N79" s="14"/>
      <c r="O79" s="14"/>
    </row>
    <row r="80" spans="1:15" ht="24.75">
      <c r="A80" s="10" t="s">
        <v>491</v>
      </c>
      <c r="B80" s="17" t="s">
        <v>309</v>
      </c>
      <c r="C80" s="8" t="s">
        <v>46</v>
      </c>
      <c r="D80" s="52">
        <v>0.58333333333333304</v>
      </c>
      <c r="E80" s="17" t="s">
        <v>270</v>
      </c>
      <c r="F80" s="17"/>
      <c r="G80" s="17" t="s">
        <v>49</v>
      </c>
      <c r="H80" s="51"/>
      <c r="I80" s="33" t="s">
        <v>469</v>
      </c>
      <c r="J80" s="49"/>
      <c r="K80" s="5" t="s">
        <v>1164</v>
      </c>
      <c r="L80" s="5" t="s">
        <v>71</v>
      </c>
      <c r="M80" s="14" t="s">
        <v>357</v>
      </c>
      <c r="N80" s="14"/>
      <c r="O80" s="14"/>
    </row>
    <row r="81" spans="1:15">
      <c r="A81" s="10" t="s">
        <v>394</v>
      </c>
      <c r="B81" s="17" t="s">
        <v>17</v>
      </c>
      <c r="C81" s="8" t="s">
        <v>46</v>
      </c>
      <c r="D81" s="8">
        <v>96.5</v>
      </c>
      <c r="E81" s="17" t="s">
        <v>270</v>
      </c>
      <c r="F81" s="17"/>
      <c r="G81" s="17" t="s">
        <v>49</v>
      </c>
      <c r="H81" s="51"/>
      <c r="I81" s="33" t="s">
        <v>395</v>
      </c>
      <c r="J81" s="49"/>
      <c r="K81" s="5" t="s">
        <v>1164</v>
      </c>
      <c r="L81" s="5" t="s">
        <v>71</v>
      </c>
      <c r="M81" s="14" t="s">
        <v>357</v>
      </c>
      <c r="N81" s="14">
        <v>1</v>
      </c>
      <c r="O81" s="14"/>
    </row>
    <row r="82" spans="1:15">
      <c r="A82" s="10" t="s">
        <v>396</v>
      </c>
      <c r="B82" s="17" t="s">
        <v>309</v>
      </c>
      <c r="C82" s="8" t="s">
        <v>46</v>
      </c>
      <c r="D82" s="8">
        <v>45</v>
      </c>
      <c r="E82" s="17" t="s">
        <v>270</v>
      </c>
      <c r="F82" s="17"/>
      <c r="G82" s="17" t="s">
        <v>49</v>
      </c>
      <c r="H82" s="51"/>
      <c r="I82" s="25"/>
      <c r="J82" s="49"/>
      <c r="K82" s="5" t="s">
        <v>1164</v>
      </c>
      <c r="L82" s="5" t="s">
        <v>71</v>
      </c>
      <c r="M82" s="14" t="s">
        <v>357</v>
      </c>
      <c r="N82" s="14"/>
      <c r="O82" s="14"/>
    </row>
    <row r="83" spans="1:15">
      <c r="A83" s="10" t="s">
        <v>397</v>
      </c>
      <c r="B83" s="17" t="s">
        <v>17</v>
      </c>
      <c r="C83" s="8" t="s">
        <v>46</v>
      </c>
      <c r="D83" s="8">
        <v>65.3</v>
      </c>
      <c r="E83" s="17" t="s">
        <v>270</v>
      </c>
      <c r="F83" s="17"/>
      <c r="G83" s="17" t="s">
        <v>49</v>
      </c>
      <c r="H83" s="51"/>
      <c r="I83" s="33" t="s">
        <v>395</v>
      </c>
      <c r="J83" s="49"/>
      <c r="K83" s="5" t="s">
        <v>1164</v>
      </c>
      <c r="L83" s="5" t="s">
        <v>71</v>
      </c>
      <c r="M83" s="14" t="s">
        <v>357</v>
      </c>
      <c r="N83" s="14">
        <v>1</v>
      </c>
      <c r="O83" s="14"/>
    </row>
    <row r="84" spans="1:15">
      <c r="A84" s="10" t="s">
        <v>398</v>
      </c>
      <c r="B84" s="17" t="s">
        <v>309</v>
      </c>
      <c r="C84" s="8" t="s">
        <v>46</v>
      </c>
      <c r="D84" s="8">
        <v>45</v>
      </c>
      <c r="E84" s="17" t="s">
        <v>270</v>
      </c>
      <c r="F84" s="17"/>
      <c r="G84" s="17" t="s">
        <v>49</v>
      </c>
      <c r="H84" s="51"/>
      <c r="I84" s="25"/>
      <c r="J84" s="49"/>
      <c r="K84" s="5" t="s">
        <v>1164</v>
      </c>
      <c r="L84" s="5" t="s">
        <v>71</v>
      </c>
      <c r="M84" s="14" t="s">
        <v>357</v>
      </c>
      <c r="N84" s="14"/>
      <c r="O84" s="14"/>
    </row>
    <row r="85" spans="1:15">
      <c r="A85" s="10" t="s">
        <v>399</v>
      </c>
      <c r="B85" s="17" t="s">
        <v>17</v>
      </c>
      <c r="C85" s="8" t="s">
        <v>46</v>
      </c>
      <c r="D85" s="8">
        <v>192.9</v>
      </c>
      <c r="E85" s="17" t="s">
        <v>270</v>
      </c>
      <c r="F85" s="17"/>
      <c r="G85" s="17" t="s">
        <v>49</v>
      </c>
      <c r="H85" s="51"/>
      <c r="I85" s="33" t="s">
        <v>395</v>
      </c>
      <c r="J85" s="49"/>
      <c r="K85" s="5" t="s">
        <v>1164</v>
      </c>
      <c r="L85" s="5" t="s">
        <v>71</v>
      </c>
      <c r="M85" s="14" t="s">
        <v>357</v>
      </c>
      <c r="N85" s="14">
        <v>1</v>
      </c>
      <c r="O85" s="14"/>
    </row>
    <row r="86" spans="1:15">
      <c r="A86" s="10" t="s">
        <v>400</v>
      </c>
      <c r="B86" s="17" t="s">
        <v>309</v>
      </c>
      <c r="C86" s="8" t="s">
        <v>46</v>
      </c>
      <c r="D86" s="8">
        <v>45</v>
      </c>
      <c r="E86" s="17" t="s">
        <v>270</v>
      </c>
      <c r="F86" s="17"/>
      <c r="G86" s="17" t="s">
        <v>49</v>
      </c>
      <c r="H86" s="51"/>
      <c r="I86" s="25"/>
      <c r="J86" s="49"/>
      <c r="K86" s="5" t="s">
        <v>1164</v>
      </c>
      <c r="L86" s="5" t="s">
        <v>71</v>
      </c>
      <c r="M86" s="14" t="s">
        <v>357</v>
      </c>
      <c r="N86" s="14"/>
      <c r="O86" s="14"/>
    </row>
    <row r="87" spans="1:15">
      <c r="A87" s="10" t="s">
        <v>401</v>
      </c>
      <c r="B87" s="17" t="s">
        <v>17</v>
      </c>
      <c r="C87" s="8" t="s">
        <v>46</v>
      </c>
      <c r="D87" s="50">
        <v>567.4</v>
      </c>
      <c r="E87" s="17" t="s">
        <v>270</v>
      </c>
      <c r="F87" s="17"/>
      <c r="G87" s="17" t="s">
        <v>49</v>
      </c>
      <c r="H87" s="17"/>
      <c r="I87" s="59"/>
      <c r="J87" s="49"/>
      <c r="K87" s="5" t="s">
        <v>1164</v>
      </c>
      <c r="L87" s="5" t="s">
        <v>71</v>
      </c>
      <c r="M87" s="14" t="s">
        <v>357</v>
      </c>
      <c r="N87" s="14"/>
      <c r="O87" s="14"/>
    </row>
    <row r="88" spans="1:15">
      <c r="A88" s="10" t="s">
        <v>403</v>
      </c>
      <c r="B88" s="17" t="s">
        <v>309</v>
      </c>
      <c r="C88" s="8" t="s">
        <v>46</v>
      </c>
      <c r="D88" s="50">
        <v>23.3333333333333</v>
      </c>
      <c r="E88" s="17" t="s">
        <v>270</v>
      </c>
      <c r="F88" s="17" t="s">
        <v>404</v>
      </c>
      <c r="G88" s="17" t="s">
        <v>49</v>
      </c>
      <c r="H88" s="17"/>
      <c r="I88" s="25" t="s">
        <v>405</v>
      </c>
      <c r="J88" s="49"/>
      <c r="K88" s="5" t="s">
        <v>1164</v>
      </c>
      <c r="L88" s="5" t="s">
        <v>71</v>
      </c>
      <c r="M88" s="14" t="s">
        <v>357</v>
      </c>
      <c r="N88" s="14"/>
      <c r="O88" s="14"/>
    </row>
    <row r="89" spans="1:15">
      <c r="A89" s="10" t="s">
        <v>406</v>
      </c>
      <c r="B89" s="17" t="s">
        <v>17</v>
      </c>
      <c r="C89" s="8" t="s">
        <v>46</v>
      </c>
      <c r="D89" s="52">
        <v>794.36</v>
      </c>
      <c r="E89" s="17" t="s">
        <v>270</v>
      </c>
      <c r="F89" s="17"/>
      <c r="G89" s="17" t="s">
        <v>49</v>
      </c>
      <c r="H89" s="17"/>
      <c r="I89" s="33" t="s">
        <v>407</v>
      </c>
      <c r="J89" s="49"/>
      <c r="K89" s="5" t="s">
        <v>1164</v>
      </c>
      <c r="L89" s="5" t="s">
        <v>71</v>
      </c>
      <c r="M89" s="14" t="s">
        <v>357</v>
      </c>
      <c r="N89" s="14"/>
      <c r="O89" s="14"/>
    </row>
    <row r="90" spans="1:15">
      <c r="A90" s="10" t="s">
        <v>408</v>
      </c>
      <c r="B90" s="17" t="s">
        <v>309</v>
      </c>
      <c r="C90" s="8" t="s">
        <v>46</v>
      </c>
      <c r="D90" s="52">
        <v>15.866666666666699</v>
      </c>
      <c r="E90" s="17" t="s">
        <v>270</v>
      </c>
      <c r="F90" s="17"/>
      <c r="G90" s="17" t="s">
        <v>49</v>
      </c>
      <c r="H90" s="17"/>
      <c r="I90" s="25"/>
      <c r="J90" s="49"/>
      <c r="K90" s="5" t="s">
        <v>1164</v>
      </c>
      <c r="L90" s="5" t="s">
        <v>71</v>
      </c>
      <c r="M90" s="14" t="s">
        <v>357</v>
      </c>
      <c r="N90" s="14"/>
      <c r="O90" s="14"/>
    </row>
    <row r="91" spans="1:15">
      <c r="A91" s="10" t="s">
        <v>409</v>
      </c>
      <c r="B91" s="17" t="s">
        <v>17</v>
      </c>
      <c r="C91" s="8" t="s">
        <v>46</v>
      </c>
      <c r="D91" s="52">
        <v>56.74</v>
      </c>
      <c r="E91" s="17" t="s">
        <v>270</v>
      </c>
      <c r="F91" s="17"/>
      <c r="G91" s="17" t="s">
        <v>49</v>
      </c>
      <c r="H91" s="51"/>
      <c r="I91" s="33" t="s">
        <v>410</v>
      </c>
      <c r="J91" s="49"/>
      <c r="K91" s="5" t="s">
        <v>1164</v>
      </c>
      <c r="L91" s="5" t="s">
        <v>71</v>
      </c>
      <c r="M91" s="14" t="s">
        <v>357</v>
      </c>
      <c r="N91" s="14"/>
      <c r="O91" s="14"/>
    </row>
    <row r="92" spans="1:15">
      <c r="A92" s="10" t="s">
        <v>411</v>
      </c>
      <c r="B92" s="17" t="s">
        <v>309</v>
      </c>
      <c r="C92" s="8" t="s">
        <v>46</v>
      </c>
      <c r="D92" s="52">
        <v>3.7333333333333298</v>
      </c>
      <c r="E92" s="17" t="s">
        <v>270</v>
      </c>
      <c r="F92" s="17"/>
      <c r="G92" s="17" t="s">
        <v>49</v>
      </c>
      <c r="H92" s="51"/>
      <c r="I92" s="25"/>
      <c r="J92" s="49"/>
      <c r="K92" s="5" t="s">
        <v>1164</v>
      </c>
      <c r="L92" s="5" t="s">
        <v>71</v>
      </c>
      <c r="M92" s="14" t="s">
        <v>357</v>
      </c>
      <c r="N92" s="14"/>
      <c r="O92" s="14"/>
    </row>
    <row r="93" spans="1:15">
      <c r="A93" s="10" t="s">
        <v>412</v>
      </c>
      <c r="B93" s="17" t="s">
        <v>17</v>
      </c>
      <c r="C93" s="8" t="s">
        <v>46</v>
      </c>
      <c r="D93" s="8">
        <v>192.9</v>
      </c>
      <c r="E93" s="17" t="s">
        <v>270</v>
      </c>
      <c r="F93" s="17"/>
      <c r="G93" s="17" t="s">
        <v>49</v>
      </c>
      <c r="H93" s="51"/>
      <c r="I93" s="33" t="s">
        <v>395</v>
      </c>
      <c r="J93" s="49"/>
      <c r="K93" s="5" t="s">
        <v>1164</v>
      </c>
      <c r="L93" s="5" t="s">
        <v>71</v>
      </c>
      <c r="M93" s="14" t="s">
        <v>357</v>
      </c>
      <c r="N93" s="14"/>
      <c r="O93" s="14"/>
    </row>
    <row r="94" spans="1:15">
      <c r="A94" s="10" t="s">
        <v>413</v>
      </c>
      <c r="B94" s="17" t="s">
        <v>309</v>
      </c>
      <c r="C94" s="8" t="s">
        <v>46</v>
      </c>
      <c r="D94" s="8">
        <v>94.7</v>
      </c>
      <c r="E94" s="17" t="s">
        <v>270</v>
      </c>
      <c r="F94" s="17"/>
      <c r="G94" s="17" t="s">
        <v>49</v>
      </c>
      <c r="H94" s="51"/>
      <c r="I94" s="25"/>
      <c r="J94" s="49"/>
      <c r="K94" s="5" t="s">
        <v>1164</v>
      </c>
      <c r="L94" s="5" t="s">
        <v>71</v>
      </c>
      <c r="M94" s="14" t="s">
        <v>357</v>
      </c>
      <c r="N94" s="14"/>
      <c r="O94" s="14"/>
    </row>
    <row r="95" spans="1:15">
      <c r="A95" s="10" t="s">
        <v>414</v>
      </c>
      <c r="B95" s="17" t="s">
        <v>200</v>
      </c>
      <c r="C95" s="20" t="s">
        <v>379</v>
      </c>
      <c r="D95" s="8" t="s">
        <v>281</v>
      </c>
      <c r="E95" s="17" t="s">
        <v>91</v>
      </c>
      <c r="F95" s="17" t="s">
        <v>267</v>
      </c>
      <c r="G95" s="17" t="s">
        <v>49</v>
      </c>
      <c r="H95" s="51"/>
      <c r="I95" s="25"/>
      <c r="J95" s="49"/>
      <c r="K95" s="5" t="s">
        <v>1164</v>
      </c>
      <c r="L95" s="5" t="s">
        <v>71</v>
      </c>
      <c r="M95" s="14" t="s">
        <v>357</v>
      </c>
      <c r="N95" s="14"/>
      <c r="O95" s="14"/>
    </row>
    <row r="96" spans="1:15">
      <c r="A96" s="10" t="s">
        <v>414</v>
      </c>
      <c r="B96" s="17" t="s">
        <v>200</v>
      </c>
      <c r="C96" s="20" t="s">
        <v>382</v>
      </c>
      <c r="D96" s="8" t="s">
        <v>327</v>
      </c>
      <c r="E96" s="17" t="s">
        <v>91</v>
      </c>
      <c r="F96" s="17" t="s">
        <v>267</v>
      </c>
      <c r="G96" s="17" t="s">
        <v>49</v>
      </c>
      <c r="H96" s="51"/>
      <c r="I96" s="25"/>
      <c r="J96" s="49"/>
      <c r="K96" s="5" t="s">
        <v>1164</v>
      </c>
      <c r="L96" s="5" t="s">
        <v>71</v>
      </c>
      <c r="M96" s="14" t="s">
        <v>357</v>
      </c>
      <c r="N96" s="14"/>
      <c r="O96" s="14"/>
    </row>
    <row r="97" spans="1:15">
      <c r="A97" s="10" t="s">
        <v>415</v>
      </c>
      <c r="B97" s="17" t="s">
        <v>17</v>
      </c>
      <c r="C97" s="8" t="s">
        <v>46</v>
      </c>
      <c r="D97" s="8">
        <v>130.5</v>
      </c>
      <c r="E97" s="17" t="s">
        <v>270</v>
      </c>
      <c r="F97" s="17"/>
      <c r="G97" s="17" t="s">
        <v>49</v>
      </c>
      <c r="H97" s="51"/>
      <c r="I97" s="33" t="s">
        <v>395</v>
      </c>
      <c r="J97" s="49"/>
      <c r="K97" s="5" t="s">
        <v>1164</v>
      </c>
      <c r="L97" s="5" t="s">
        <v>71</v>
      </c>
      <c r="M97" s="14" t="s">
        <v>357</v>
      </c>
      <c r="N97" s="14"/>
      <c r="O97" s="14"/>
    </row>
    <row r="98" spans="1:15">
      <c r="A98" s="10" t="s">
        <v>416</v>
      </c>
      <c r="B98" s="17" t="s">
        <v>309</v>
      </c>
      <c r="C98" s="8" t="s">
        <v>46</v>
      </c>
      <c r="D98" s="8">
        <v>94.7</v>
      </c>
      <c r="E98" s="17" t="s">
        <v>270</v>
      </c>
      <c r="F98" s="17"/>
      <c r="G98" s="17" t="s">
        <v>49</v>
      </c>
      <c r="H98" s="51"/>
      <c r="I98" s="25"/>
      <c r="J98" s="49"/>
      <c r="K98" s="5" t="s">
        <v>1164</v>
      </c>
      <c r="L98" s="5" t="s">
        <v>71</v>
      </c>
      <c r="M98" s="14" t="s">
        <v>357</v>
      </c>
      <c r="N98" s="14"/>
      <c r="O98" s="14"/>
    </row>
    <row r="99" spans="1:15">
      <c r="A99" s="10" t="s">
        <v>417</v>
      </c>
      <c r="B99" s="17" t="s">
        <v>200</v>
      </c>
      <c r="C99" s="20" t="s">
        <v>46</v>
      </c>
      <c r="D99" s="8" t="s">
        <v>281</v>
      </c>
      <c r="E99" s="17" t="s">
        <v>91</v>
      </c>
      <c r="F99" s="17" t="s">
        <v>267</v>
      </c>
      <c r="G99" s="17" t="s">
        <v>49</v>
      </c>
      <c r="H99" s="51"/>
      <c r="I99" s="25" t="s">
        <v>418</v>
      </c>
      <c r="J99" s="49"/>
      <c r="K99" s="5" t="s">
        <v>1164</v>
      </c>
      <c r="L99" s="5" t="s">
        <v>71</v>
      </c>
      <c r="M99" s="14" t="s">
        <v>357</v>
      </c>
      <c r="N99" s="14">
        <v>1</v>
      </c>
      <c r="O99" s="14"/>
    </row>
    <row r="100" spans="1:15">
      <c r="A100" s="10" t="s">
        <v>419</v>
      </c>
      <c r="B100" s="17" t="s">
        <v>17</v>
      </c>
      <c r="C100" s="8" t="s">
        <v>46</v>
      </c>
      <c r="D100" s="8">
        <v>385.8</v>
      </c>
      <c r="E100" s="17" t="s">
        <v>270</v>
      </c>
      <c r="F100" s="17"/>
      <c r="G100" s="17" t="s">
        <v>49</v>
      </c>
      <c r="H100" s="51"/>
      <c r="I100" s="33" t="s">
        <v>395</v>
      </c>
      <c r="J100" s="49"/>
      <c r="K100" s="5" t="s">
        <v>1164</v>
      </c>
      <c r="L100" s="5" t="s">
        <v>71</v>
      </c>
      <c r="M100" s="14" t="s">
        <v>357</v>
      </c>
      <c r="N100" s="14"/>
      <c r="O100" s="14"/>
    </row>
    <row r="101" spans="1:15">
      <c r="A101" s="10" t="s">
        <v>420</v>
      </c>
      <c r="B101" s="17" t="s">
        <v>309</v>
      </c>
      <c r="C101" s="8" t="s">
        <v>46</v>
      </c>
      <c r="D101" s="8">
        <v>94.7</v>
      </c>
      <c r="E101" s="17" t="s">
        <v>270</v>
      </c>
      <c r="F101" s="17"/>
      <c r="G101" s="17" t="s">
        <v>49</v>
      </c>
      <c r="H101" s="51"/>
      <c r="I101" s="25"/>
      <c r="J101" s="49"/>
      <c r="K101" s="5" t="s">
        <v>1164</v>
      </c>
      <c r="L101" s="5" t="s">
        <v>71</v>
      </c>
      <c r="M101" s="14" t="s">
        <v>357</v>
      </c>
      <c r="N101" s="14"/>
      <c r="O101" s="14"/>
    </row>
    <row r="102" spans="1:15" ht="24.75">
      <c r="A102" s="10" t="s">
        <v>421</v>
      </c>
      <c r="B102" s="17" t="s">
        <v>200</v>
      </c>
      <c r="C102" s="20" t="s">
        <v>46</v>
      </c>
      <c r="D102" s="8" t="s">
        <v>281</v>
      </c>
      <c r="E102" s="17" t="s">
        <v>91</v>
      </c>
      <c r="F102" s="17" t="s">
        <v>267</v>
      </c>
      <c r="G102" s="17" t="s">
        <v>49</v>
      </c>
      <c r="H102" s="51"/>
      <c r="I102" s="25" t="s">
        <v>422</v>
      </c>
      <c r="J102" s="49"/>
      <c r="K102" s="5" t="s">
        <v>1164</v>
      </c>
      <c r="L102" s="5" t="s">
        <v>71</v>
      </c>
      <c r="M102" s="14" t="s">
        <v>357</v>
      </c>
      <c r="N102" s="14">
        <v>1</v>
      </c>
      <c r="O102" s="14"/>
    </row>
    <row r="103" spans="1:15">
      <c r="A103" s="10" t="s">
        <v>423</v>
      </c>
      <c r="B103" s="17" t="s">
        <v>17</v>
      </c>
      <c r="C103" s="8" t="s">
        <v>46</v>
      </c>
      <c r="D103" s="52">
        <v>141.85</v>
      </c>
      <c r="E103" s="17" t="s">
        <v>467</v>
      </c>
      <c r="F103" s="17"/>
      <c r="G103" s="17" t="s">
        <v>49</v>
      </c>
      <c r="H103" s="51"/>
      <c r="I103" s="59"/>
      <c r="J103" s="49"/>
      <c r="K103" s="5" t="s">
        <v>1164</v>
      </c>
      <c r="L103" s="5" t="s">
        <v>71</v>
      </c>
      <c r="M103" s="14" t="s">
        <v>357</v>
      </c>
      <c r="N103" s="14"/>
      <c r="O103" s="14"/>
    </row>
    <row r="104" spans="1:15">
      <c r="A104" s="10" t="s">
        <v>424</v>
      </c>
      <c r="B104" s="17" t="s">
        <v>309</v>
      </c>
      <c r="C104" s="8" t="s">
        <v>46</v>
      </c>
      <c r="D104" s="52">
        <v>1.86666666666667</v>
      </c>
      <c r="E104" s="17" t="s">
        <v>425</v>
      </c>
      <c r="F104" s="17"/>
      <c r="G104" s="17" t="s">
        <v>49</v>
      </c>
      <c r="H104" s="51"/>
      <c r="I104" s="33" t="s">
        <v>377</v>
      </c>
      <c r="J104" s="49"/>
      <c r="K104" s="5" t="s">
        <v>1164</v>
      </c>
      <c r="L104" s="5" t="s">
        <v>71</v>
      </c>
      <c r="M104" s="14" t="s">
        <v>357</v>
      </c>
      <c r="N104" s="14"/>
      <c r="O104" s="14"/>
    </row>
    <row r="105" spans="1:15" ht="24.75">
      <c r="A105" s="10" t="s">
        <v>492</v>
      </c>
      <c r="B105" s="17" t="s">
        <v>17</v>
      </c>
      <c r="C105" s="8" t="s">
        <v>46</v>
      </c>
      <c r="D105" s="52">
        <v>19.859000000000002</v>
      </c>
      <c r="E105" s="17" t="s">
        <v>270</v>
      </c>
      <c r="F105" s="17"/>
      <c r="G105" s="17" t="s">
        <v>49</v>
      </c>
      <c r="H105" s="51"/>
      <c r="I105" s="33" t="s">
        <v>469</v>
      </c>
      <c r="J105" s="49"/>
      <c r="K105" s="5" t="s">
        <v>1164</v>
      </c>
      <c r="L105" s="5" t="s">
        <v>71</v>
      </c>
      <c r="M105" s="14" t="s">
        <v>357</v>
      </c>
      <c r="N105" s="14"/>
      <c r="O105" s="14"/>
    </row>
    <row r="106" spans="1:15" ht="24.75">
      <c r="A106" s="10" t="s">
        <v>493</v>
      </c>
      <c r="B106" s="17" t="s">
        <v>309</v>
      </c>
      <c r="C106" s="8" t="s">
        <v>46</v>
      </c>
      <c r="D106" s="52">
        <v>0.18666666666666701</v>
      </c>
      <c r="E106" s="17" t="s">
        <v>270</v>
      </c>
      <c r="F106" s="17"/>
      <c r="G106" s="17" t="s">
        <v>49</v>
      </c>
      <c r="H106" s="51"/>
      <c r="I106" s="33" t="s">
        <v>469</v>
      </c>
      <c r="J106" s="49"/>
      <c r="K106" s="5" t="s">
        <v>1164</v>
      </c>
      <c r="L106" s="5" t="s">
        <v>71</v>
      </c>
      <c r="M106" s="14" t="s">
        <v>357</v>
      </c>
      <c r="N106" s="14"/>
      <c r="O106" s="14"/>
    </row>
    <row r="107" spans="1:15" ht="24.75">
      <c r="A107" s="10" t="s">
        <v>494</v>
      </c>
      <c r="B107" s="17" t="s">
        <v>17</v>
      </c>
      <c r="C107" s="8" t="s">
        <v>46</v>
      </c>
      <c r="D107" s="52">
        <v>14.185</v>
      </c>
      <c r="E107" s="17" t="s">
        <v>270</v>
      </c>
      <c r="F107" s="17"/>
      <c r="G107" s="17" t="s">
        <v>49</v>
      </c>
      <c r="H107" s="51"/>
      <c r="I107" s="33" t="s">
        <v>469</v>
      </c>
      <c r="J107" s="49"/>
      <c r="K107" s="5" t="s">
        <v>1164</v>
      </c>
      <c r="L107" s="5" t="s">
        <v>71</v>
      </c>
      <c r="M107" s="14" t="s">
        <v>357</v>
      </c>
      <c r="N107" s="14"/>
      <c r="O107" s="14"/>
    </row>
    <row r="108" spans="1:15" ht="24.75">
      <c r="A108" s="10" t="s">
        <v>495</v>
      </c>
      <c r="B108" s="17" t="s">
        <v>309</v>
      </c>
      <c r="C108" s="8" t="s">
        <v>46</v>
      </c>
      <c r="D108" s="52">
        <v>0.18666666666666701</v>
      </c>
      <c r="E108" s="17" t="s">
        <v>270</v>
      </c>
      <c r="F108" s="17"/>
      <c r="G108" s="17" t="s">
        <v>49</v>
      </c>
      <c r="H108" s="51"/>
      <c r="I108" s="33" t="s">
        <v>469</v>
      </c>
      <c r="J108" s="49"/>
      <c r="K108" s="5" t="s">
        <v>1164</v>
      </c>
      <c r="L108" s="5" t="s">
        <v>71</v>
      </c>
      <c r="M108" s="14" t="s">
        <v>357</v>
      </c>
      <c r="N108" s="14"/>
      <c r="O108" s="14"/>
    </row>
    <row r="109" spans="1:15" ht="24.75">
      <c r="A109" s="10" t="s">
        <v>496</v>
      </c>
      <c r="B109" s="17" t="s">
        <v>17</v>
      </c>
      <c r="C109" s="8" t="s">
        <v>46</v>
      </c>
      <c r="D109" s="52">
        <v>39.718000000000004</v>
      </c>
      <c r="E109" s="17" t="s">
        <v>270</v>
      </c>
      <c r="F109" s="17"/>
      <c r="G109" s="17" t="s">
        <v>49</v>
      </c>
      <c r="H109" s="51"/>
      <c r="I109" s="33" t="s">
        <v>469</v>
      </c>
      <c r="J109" s="49"/>
      <c r="K109" s="5" t="s">
        <v>1164</v>
      </c>
      <c r="L109" s="5" t="s">
        <v>71</v>
      </c>
      <c r="M109" s="14" t="s">
        <v>357</v>
      </c>
      <c r="N109" s="14"/>
      <c r="O109" s="14"/>
    </row>
    <row r="110" spans="1:15" ht="24.75">
      <c r="A110" s="10" t="s">
        <v>497</v>
      </c>
      <c r="B110" s="17" t="s">
        <v>309</v>
      </c>
      <c r="C110" s="8" t="s">
        <v>46</v>
      </c>
      <c r="D110" s="52">
        <v>0.63466666666666705</v>
      </c>
      <c r="E110" s="17" t="s">
        <v>270</v>
      </c>
      <c r="F110" s="17"/>
      <c r="G110" s="17" t="s">
        <v>49</v>
      </c>
      <c r="H110" s="51"/>
      <c r="I110" s="33" t="s">
        <v>469</v>
      </c>
      <c r="J110" s="49"/>
      <c r="K110" s="5" t="s">
        <v>1164</v>
      </c>
      <c r="L110" s="5" t="s">
        <v>71</v>
      </c>
      <c r="M110" s="14" t="s">
        <v>357</v>
      </c>
      <c r="N110" s="14"/>
      <c r="O110" s="14"/>
    </row>
    <row r="111" spans="1:15" ht="24.75">
      <c r="A111" s="10" t="s">
        <v>498</v>
      </c>
      <c r="B111" s="17" t="s">
        <v>17</v>
      </c>
      <c r="C111" s="8" t="s">
        <v>46</v>
      </c>
      <c r="D111" s="52">
        <v>8.5109999999999992</v>
      </c>
      <c r="E111" s="17" t="s">
        <v>270</v>
      </c>
      <c r="F111" s="17"/>
      <c r="G111" s="17" t="s">
        <v>49</v>
      </c>
      <c r="H111" s="51"/>
      <c r="I111" s="33" t="s">
        <v>469</v>
      </c>
      <c r="J111" s="49"/>
      <c r="K111" s="5" t="s">
        <v>1164</v>
      </c>
      <c r="L111" s="5" t="s">
        <v>71</v>
      </c>
      <c r="M111" s="14" t="s">
        <v>357</v>
      </c>
      <c r="N111" s="14"/>
      <c r="O111" s="14"/>
    </row>
    <row r="112" spans="1:15" ht="24.75">
      <c r="A112" s="10" t="s">
        <v>499</v>
      </c>
      <c r="B112" s="17" t="s">
        <v>309</v>
      </c>
      <c r="C112" s="8" t="s">
        <v>46</v>
      </c>
      <c r="D112" s="52">
        <v>0.18666666666666701</v>
      </c>
      <c r="E112" s="17" t="s">
        <v>270</v>
      </c>
      <c r="F112" s="17"/>
      <c r="G112" s="17" t="s">
        <v>49</v>
      </c>
      <c r="H112" s="51"/>
      <c r="I112" s="33" t="s">
        <v>469</v>
      </c>
      <c r="J112" s="49"/>
      <c r="K112" s="5" t="s">
        <v>1164</v>
      </c>
      <c r="L112" s="5" t="s">
        <v>71</v>
      </c>
      <c r="M112" s="14" t="s">
        <v>357</v>
      </c>
      <c r="N112" s="14"/>
      <c r="O112" s="14"/>
    </row>
    <row r="113" spans="1:15" ht="48.75">
      <c r="A113" s="10" t="s">
        <v>426</v>
      </c>
      <c r="B113" s="17" t="s">
        <v>17</v>
      </c>
      <c r="C113" s="20" t="s">
        <v>379</v>
      </c>
      <c r="D113" s="8" t="s">
        <v>427</v>
      </c>
      <c r="E113" s="17" t="s">
        <v>428</v>
      </c>
      <c r="F113" s="17"/>
      <c r="G113" s="17" t="s">
        <v>49</v>
      </c>
      <c r="H113" s="51"/>
      <c r="I113" s="33" t="s">
        <v>429</v>
      </c>
      <c r="J113" s="49"/>
      <c r="K113" s="5" t="s">
        <v>1164</v>
      </c>
      <c r="L113" s="5" t="s">
        <v>71</v>
      </c>
      <c r="M113" s="14" t="s">
        <v>357</v>
      </c>
      <c r="N113" s="14"/>
      <c r="O113" s="14"/>
    </row>
    <row r="114" spans="1:15" ht="24">
      <c r="A114" s="10" t="s">
        <v>426</v>
      </c>
      <c r="B114" s="17" t="s">
        <v>17</v>
      </c>
      <c r="C114" s="20" t="s">
        <v>382</v>
      </c>
      <c r="D114" s="8" t="s">
        <v>430</v>
      </c>
      <c r="E114" s="17" t="s">
        <v>428</v>
      </c>
      <c r="F114" s="17"/>
      <c r="G114" s="17" t="s">
        <v>49</v>
      </c>
      <c r="H114" s="51"/>
      <c r="I114" s="25"/>
      <c r="J114" s="49"/>
      <c r="K114" s="5" t="s">
        <v>1164</v>
      </c>
      <c r="L114" s="5" t="s">
        <v>71</v>
      </c>
      <c r="M114" s="14" t="s">
        <v>357</v>
      </c>
      <c r="N114" s="14"/>
      <c r="O114" s="14"/>
    </row>
    <row r="115" spans="1:15" ht="24.75">
      <c r="A115" s="10" t="s">
        <v>431</v>
      </c>
      <c r="B115" s="17" t="s">
        <v>200</v>
      </c>
      <c r="C115" s="20" t="s">
        <v>379</v>
      </c>
      <c r="D115" s="8" t="s">
        <v>284</v>
      </c>
      <c r="E115" s="17" t="s">
        <v>282</v>
      </c>
      <c r="F115" s="17"/>
      <c r="G115" s="17" t="s">
        <v>49</v>
      </c>
      <c r="H115" s="51"/>
      <c r="I115" s="25" t="s">
        <v>285</v>
      </c>
      <c r="J115" s="49"/>
      <c r="K115" s="5" t="s">
        <v>1164</v>
      </c>
      <c r="L115" s="5" t="s">
        <v>71</v>
      </c>
      <c r="M115" s="14" t="s">
        <v>357</v>
      </c>
      <c r="N115" s="14"/>
      <c r="O115" s="14"/>
    </row>
    <row r="116" spans="1:15">
      <c r="A116" s="10" t="s">
        <v>431</v>
      </c>
      <c r="B116" s="17" t="s">
        <v>200</v>
      </c>
      <c r="C116" s="20" t="s">
        <v>382</v>
      </c>
      <c r="D116" s="8" t="s">
        <v>327</v>
      </c>
      <c r="E116" s="17" t="s">
        <v>282</v>
      </c>
      <c r="F116" s="17"/>
      <c r="G116" s="17" t="s">
        <v>49</v>
      </c>
      <c r="H116" s="51"/>
      <c r="I116" s="25"/>
      <c r="J116" s="49"/>
      <c r="K116" s="5" t="s">
        <v>1164</v>
      </c>
      <c r="L116" s="5" t="s">
        <v>71</v>
      </c>
      <c r="M116" s="14" t="s">
        <v>357</v>
      </c>
      <c r="N116" s="14"/>
      <c r="O116" s="14"/>
    </row>
    <row r="117" spans="1:15">
      <c r="A117" s="10" t="s">
        <v>432</v>
      </c>
      <c r="B117" s="17" t="s">
        <v>309</v>
      </c>
      <c r="C117" s="8" t="s">
        <v>46</v>
      </c>
      <c r="D117" s="8">
        <v>94.7</v>
      </c>
      <c r="E117" s="17" t="s">
        <v>270</v>
      </c>
      <c r="F117" s="17"/>
      <c r="G117" s="17" t="s">
        <v>49</v>
      </c>
      <c r="H117" s="51"/>
      <c r="I117" s="25"/>
      <c r="J117" s="49"/>
      <c r="K117" s="5" t="s">
        <v>1164</v>
      </c>
      <c r="L117" s="5" t="s">
        <v>71</v>
      </c>
      <c r="M117" s="14" t="s">
        <v>357</v>
      </c>
      <c r="N117" s="14"/>
      <c r="O117" s="14"/>
    </row>
    <row r="118" spans="1:15" ht="36">
      <c r="A118" s="10" t="s">
        <v>433</v>
      </c>
      <c r="B118" s="17" t="s">
        <v>17</v>
      </c>
      <c r="C118" s="8" t="s">
        <v>46</v>
      </c>
      <c r="D118" s="26" t="s">
        <v>477</v>
      </c>
      <c r="E118" s="26" t="s">
        <v>478</v>
      </c>
      <c r="F118" s="17"/>
      <c r="G118" s="17" t="s">
        <v>49</v>
      </c>
      <c r="H118" s="51"/>
      <c r="I118" s="33" t="s">
        <v>479</v>
      </c>
      <c r="J118" s="49"/>
      <c r="K118" s="5" t="s">
        <v>1164</v>
      </c>
      <c r="L118" s="5" t="s">
        <v>71</v>
      </c>
      <c r="M118" s="14" t="s">
        <v>357</v>
      </c>
      <c r="N118" s="14"/>
      <c r="O118" s="14"/>
    </row>
    <row r="119" spans="1:15">
      <c r="A119" s="10" t="s">
        <v>434</v>
      </c>
      <c r="B119" s="17" t="s">
        <v>309</v>
      </c>
      <c r="C119" s="8" t="s">
        <v>46</v>
      </c>
      <c r="D119" s="50">
        <v>8.8666666666666707</v>
      </c>
      <c r="E119" s="17" t="s">
        <v>270</v>
      </c>
      <c r="F119" s="17"/>
      <c r="G119" s="17" t="s">
        <v>49</v>
      </c>
      <c r="H119" s="51"/>
      <c r="I119" s="25" t="s">
        <v>480</v>
      </c>
      <c r="J119" s="49"/>
      <c r="K119" s="5" t="s">
        <v>1164</v>
      </c>
      <c r="L119" s="5" t="s">
        <v>71</v>
      </c>
      <c r="M119" s="14" t="s">
        <v>357</v>
      </c>
      <c r="N119" s="14"/>
      <c r="O119" s="14"/>
    </row>
    <row r="120" spans="1:15">
      <c r="A120" s="10" t="s">
        <v>435</v>
      </c>
      <c r="B120" s="17" t="s">
        <v>17</v>
      </c>
      <c r="C120" s="8" t="s">
        <v>46</v>
      </c>
      <c r="D120" s="8">
        <v>283.7</v>
      </c>
      <c r="E120" s="17" t="s">
        <v>467</v>
      </c>
      <c r="F120" s="17"/>
      <c r="G120" s="17" t="s">
        <v>49</v>
      </c>
      <c r="H120" s="51"/>
      <c r="I120" s="59"/>
      <c r="J120" s="49"/>
      <c r="K120" s="5" t="s">
        <v>1164</v>
      </c>
      <c r="L120" s="5" t="s">
        <v>71</v>
      </c>
      <c r="M120" s="14" t="s">
        <v>357</v>
      </c>
      <c r="N120" s="14"/>
      <c r="O120" s="14"/>
    </row>
    <row r="121" spans="1:15">
      <c r="A121" s="10" t="s">
        <v>500</v>
      </c>
      <c r="B121" s="17" t="s">
        <v>309</v>
      </c>
      <c r="C121" s="8" t="s">
        <v>46</v>
      </c>
      <c r="D121" s="52">
        <v>5.8333333333333304</v>
      </c>
      <c r="E121" s="17" t="s">
        <v>482</v>
      </c>
      <c r="F121" s="17"/>
      <c r="G121" s="17" t="s">
        <v>49</v>
      </c>
      <c r="H121" s="51"/>
      <c r="I121" s="33" t="s">
        <v>483</v>
      </c>
      <c r="J121" s="49"/>
      <c r="K121" s="5" t="s">
        <v>1164</v>
      </c>
      <c r="L121" s="5" t="s">
        <v>71</v>
      </c>
      <c r="M121" s="14" t="s">
        <v>357</v>
      </c>
      <c r="N121" s="14"/>
      <c r="O121" s="14"/>
    </row>
    <row r="122" spans="1:15" ht="24.75">
      <c r="A122" s="10" t="s">
        <v>501</v>
      </c>
      <c r="B122" s="17" t="s">
        <v>17</v>
      </c>
      <c r="C122" s="8" t="s">
        <v>46</v>
      </c>
      <c r="D122" s="52">
        <v>39.718000000000004</v>
      </c>
      <c r="E122" s="17" t="s">
        <v>270</v>
      </c>
      <c r="F122" s="17"/>
      <c r="G122" s="17" t="s">
        <v>49</v>
      </c>
      <c r="H122" s="51"/>
      <c r="I122" s="33" t="s">
        <v>469</v>
      </c>
      <c r="J122" s="49"/>
      <c r="K122" s="5" t="s">
        <v>1164</v>
      </c>
      <c r="L122" s="5" t="s">
        <v>71</v>
      </c>
      <c r="M122" s="14" t="s">
        <v>357</v>
      </c>
      <c r="N122" s="14"/>
      <c r="O122" s="14"/>
    </row>
    <row r="123" spans="1:15" ht="24.75">
      <c r="A123" s="10" t="s">
        <v>502</v>
      </c>
      <c r="B123" s="17" t="s">
        <v>309</v>
      </c>
      <c r="C123" s="8" t="s">
        <v>46</v>
      </c>
      <c r="D123" s="52">
        <v>0.58333333333333304</v>
      </c>
      <c r="E123" s="17" t="s">
        <v>270</v>
      </c>
      <c r="F123" s="17"/>
      <c r="G123" s="17" t="s">
        <v>49</v>
      </c>
      <c r="H123" s="51"/>
      <c r="I123" s="33" t="s">
        <v>469</v>
      </c>
      <c r="J123" s="49"/>
      <c r="K123" s="5" t="s">
        <v>1164</v>
      </c>
      <c r="L123" s="5" t="s">
        <v>71</v>
      </c>
      <c r="M123" s="14" t="s">
        <v>357</v>
      </c>
      <c r="N123" s="14"/>
      <c r="O123" s="14"/>
    </row>
    <row r="124" spans="1:15" ht="24.75">
      <c r="A124" s="10" t="s">
        <v>503</v>
      </c>
      <c r="B124" s="17" t="s">
        <v>17</v>
      </c>
      <c r="C124" s="8" t="s">
        <v>46</v>
      </c>
      <c r="D124" s="52">
        <v>28.37</v>
      </c>
      <c r="E124" s="17" t="s">
        <v>270</v>
      </c>
      <c r="F124" s="17"/>
      <c r="G124" s="17" t="s">
        <v>49</v>
      </c>
      <c r="H124" s="51"/>
      <c r="I124" s="33" t="s">
        <v>469</v>
      </c>
      <c r="J124" s="49"/>
      <c r="K124" s="5" t="s">
        <v>1164</v>
      </c>
      <c r="L124" s="5" t="s">
        <v>71</v>
      </c>
      <c r="M124" s="14" t="s">
        <v>357</v>
      </c>
      <c r="N124" s="14"/>
      <c r="O124" s="14"/>
    </row>
    <row r="125" spans="1:15" ht="24.75">
      <c r="A125" s="10" t="s">
        <v>504</v>
      </c>
      <c r="B125" s="17" t="s">
        <v>309</v>
      </c>
      <c r="C125" s="8" t="s">
        <v>46</v>
      </c>
      <c r="D125" s="52">
        <v>0.58333333333333304</v>
      </c>
      <c r="E125" s="17" t="s">
        <v>270</v>
      </c>
      <c r="F125" s="17"/>
      <c r="G125" s="17" t="s">
        <v>49</v>
      </c>
      <c r="H125" s="51"/>
      <c r="I125" s="33" t="s">
        <v>469</v>
      </c>
      <c r="J125" s="49"/>
      <c r="K125" s="5" t="s">
        <v>1164</v>
      </c>
      <c r="L125" s="5" t="s">
        <v>71</v>
      </c>
      <c r="M125" s="14" t="s">
        <v>357</v>
      </c>
      <c r="N125" s="14"/>
      <c r="O125" s="14"/>
    </row>
    <row r="126" spans="1:15" ht="24.75">
      <c r="A126" s="10" t="s">
        <v>505</v>
      </c>
      <c r="B126" s="17" t="s">
        <v>17</v>
      </c>
      <c r="C126" s="8" t="s">
        <v>46</v>
      </c>
      <c r="D126" s="52">
        <v>79.436000000000007</v>
      </c>
      <c r="E126" s="17" t="s">
        <v>270</v>
      </c>
      <c r="F126" s="17"/>
      <c r="G126" s="17" t="s">
        <v>49</v>
      </c>
      <c r="H126" s="51"/>
      <c r="I126" s="33" t="s">
        <v>469</v>
      </c>
      <c r="J126" s="49"/>
      <c r="K126" s="5" t="s">
        <v>1164</v>
      </c>
      <c r="L126" s="5" t="s">
        <v>71</v>
      </c>
      <c r="M126" s="14" t="s">
        <v>357</v>
      </c>
      <c r="N126" s="14"/>
      <c r="O126" s="14"/>
    </row>
    <row r="127" spans="1:15" ht="24.75">
      <c r="A127" s="10" t="s">
        <v>506</v>
      </c>
      <c r="B127" s="17" t="s">
        <v>309</v>
      </c>
      <c r="C127" s="8" t="s">
        <v>46</v>
      </c>
      <c r="D127" s="52">
        <v>1.9833333333333301</v>
      </c>
      <c r="E127" s="17" t="s">
        <v>270</v>
      </c>
      <c r="F127" s="17"/>
      <c r="G127" s="17" t="s">
        <v>49</v>
      </c>
      <c r="H127" s="51"/>
      <c r="I127" s="33" t="s">
        <v>469</v>
      </c>
      <c r="J127" s="49"/>
      <c r="K127" s="5" t="s">
        <v>1164</v>
      </c>
      <c r="L127" s="5" t="s">
        <v>71</v>
      </c>
      <c r="M127" s="14" t="s">
        <v>357</v>
      </c>
      <c r="N127" s="14"/>
      <c r="O127" s="14"/>
    </row>
    <row r="128" spans="1:15" ht="24.75">
      <c r="A128" s="10" t="s">
        <v>507</v>
      </c>
      <c r="B128" s="17" t="s">
        <v>17</v>
      </c>
      <c r="C128" s="8" t="s">
        <v>46</v>
      </c>
      <c r="D128" s="52">
        <v>17.021999999999998</v>
      </c>
      <c r="E128" s="17" t="s">
        <v>270</v>
      </c>
      <c r="F128" s="17"/>
      <c r="G128" s="17" t="s">
        <v>49</v>
      </c>
      <c r="H128" s="51"/>
      <c r="I128" s="33" t="s">
        <v>469</v>
      </c>
      <c r="J128" s="49"/>
      <c r="K128" s="5" t="s">
        <v>1164</v>
      </c>
      <c r="L128" s="5" t="s">
        <v>71</v>
      </c>
      <c r="M128" s="14" t="s">
        <v>357</v>
      </c>
      <c r="N128" s="14"/>
      <c r="O128" s="14"/>
    </row>
    <row r="129" spans="1:15" ht="24.75">
      <c r="A129" s="10" t="s">
        <v>508</v>
      </c>
      <c r="B129" s="17" t="s">
        <v>309</v>
      </c>
      <c r="C129" s="8" t="s">
        <v>46</v>
      </c>
      <c r="D129" s="52">
        <v>0.58333333333333304</v>
      </c>
      <c r="E129" s="17" t="s">
        <v>270</v>
      </c>
      <c r="F129" s="17"/>
      <c r="G129" s="17" t="s">
        <v>49</v>
      </c>
      <c r="H129" s="51"/>
      <c r="I129" s="33" t="s">
        <v>469</v>
      </c>
      <c r="J129" s="49"/>
      <c r="K129" s="5" t="s">
        <v>1164</v>
      </c>
      <c r="L129" s="5" t="s">
        <v>71</v>
      </c>
      <c r="M129" s="14" t="s">
        <v>357</v>
      </c>
      <c r="N129" s="14"/>
      <c r="O129" s="14"/>
    </row>
    <row r="130" spans="1:15">
      <c r="A130" s="10" t="s">
        <v>437</v>
      </c>
      <c r="B130" s="17" t="s">
        <v>17</v>
      </c>
      <c r="C130" s="8" t="s">
        <v>46</v>
      </c>
      <c r="D130" s="8">
        <v>96.5</v>
      </c>
      <c r="E130" s="17" t="s">
        <v>270</v>
      </c>
      <c r="F130" s="17"/>
      <c r="G130" s="17" t="s">
        <v>49</v>
      </c>
      <c r="H130" s="51"/>
      <c r="I130" s="33" t="s">
        <v>395</v>
      </c>
      <c r="J130" s="49"/>
      <c r="K130" s="5" t="s">
        <v>1164</v>
      </c>
      <c r="L130" s="5" t="s">
        <v>71</v>
      </c>
      <c r="M130" s="14" t="s">
        <v>357</v>
      </c>
      <c r="N130" s="14">
        <v>1</v>
      </c>
      <c r="O130" s="14"/>
    </row>
    <row r="131" spans="1:15">
      <c r="A131" s="10" t="s">
        <v>438</v>
      </c>
      <c r="B131" s="17" t="s">
        <v>309</v>
      </c>
      <c r="C131" s="8" t="s">
        <v>46</v>
      </c>
      <c r="D131" s="8">
        <v>49.7</v>
      </c>
      <c r="E131" s="17" t="s">
        <v>270</v>
      </c>
      <c r="F131" s="17"/>
      <c r="G131" s="17" t="s">
        <v>49</v>
      </c>
      <c r="H131" s="51"/>
      <c r="I131" s="25"/>
      <c r="J131" s="49"/>
      <c r="K131" s="5" t="s">
        <v>1164</v>
      </c>
      <c r="L131" s="5" t="s">
        <v>71</v>
      </c>
      <c r="M131" s="14" t="s">
        <v>357</v>
      </c>
      <c r="N131" s="14"/>
      <c r="O131" s="14"/>
    </row>
    <row r="132" spans="1:15">
      <c r="A132" s="10" t="s">
        <v>439</v>
      </c>
      <c r="B132" s="17" t="s">
        <v>17</v>
      </c>
      <c r="C132" s="8" t="s">
        <v>46</v>
      </c>
      <c r="D132" s="8">
        <v>65.3</v>
      </c>
      <c r="E132" s="17" t="s">
        <v>270</v>
      </c>
      <c r="F132" s="17"/>
      <c r="G132" s="17" t="s">
        <v>49</v>
      </c>
      <c r="H132" s="51"/>
      <c r="I132" s="33" t="s">
        <v>395</v>
      </c>
      <c r="J132" s="49"/>
      <c r="K132" s="5" t="s">
        <v>1164</v>
      </c>
      <c r="L132" s="5" t="s">
        <v>71</v>
      </c>
      <c r="M132" s="14" t="s">
        <v>357</v>
      </c>
      <c r="N132" s="14">
        <v>1</v>
      </c>
      <c r="O132" s="14"/>
    </row>
    <row r="133" spans="1:15">
      <c r="A133" s="10" t="s">
        <v>440</v>
      </c>
      <c r="B133" s="17" t="s">
        <v>309</v>
      </c>
      <c r="C133" s="8" t="s">
        <v>46</v>
      </c>
      <c r="D133" s="8">
        <v>49.7</v>
      </c>
      <c r="E133" s="17" t="s">
        <v>270</v>
      </c>
      <c r="F133" s="17"/>
      <c r="G133" s="17" t="s">
        <v>49</v>
      </c>
      <c r="H133" s="51"/>
      <c r="I133" s="25"/>
      <c r="J133" s="49"/>
      <c r="K133" s="5" t="s">
        <v>1164</v>
      </c>
      <c r="L133" s="5" t="s">
        <v>71</v>
      </c>
      <c r="M133" s="14" t="s">
        <v>357</v>
      </c>
      <c r="N133" s="14"/>
      <c r="O133" s="14"/>
    </row>
    <row r="134" spans="1:15">
      <c r="A134" s="10" t="s">
        <v>441</v>
      </c>
      <c r="B134" s="17" t="s">
        <v>17</v>
      </c>
      <c r="C134" s="8" t="s">
        <v>46</v>
      </c>
      <c r="D134" s="8">
        <v>192.9</v>
      </c>
      <c r="E134" s="17" t="s">
        <v>270</v>
      </c>
      <c r="F134" s="17"/>
      <c r="G134" s="17" t="s">
        <v>49</v>
      </c>
      <c r="H134" s="17"/>
      <c r="I134" s="33" t="s">
        <v>395</v>
      </c>
      <c r="J134" s="49"/>
      <c r="K134" s="5" t="s">
        <v>1164</v>
      </c>
      <c r="L134" s="5" t="s">
        <v>71</v>
      </c>
      <c r="M134" s="14" t="s">
        <v>357</v>
      </c>
      <c r="N134" s="14">
        <v>1</v>
      </c>
      <c r="O134" s="14"/>
    </row>
    <row r="135" spans="1:15">
      <c r="A135" s="10" t="s">
        <v>442</v>
      </c>
      <c r="B135" s="17" t="s">
        <v>309</v>
      </c>
      <c r="C135" s="8" t="s">
        <v>46</v>
      </c>
      <c r="D135" s="8">
        <v>49.7</v>
      </c>
      <c r="E135" s="17" t="s">
        <v>270</v>
      </c>
      <c r="F135" s="17"/>
      <c r="G135" s="17" t="s">
        <v>49</v>
      </c>
      <c r="H135" s="17"/>
      <c r="I135" s="25"/>
      <c r="J135" s="49"/>
      <c r="K135" s="5" t="s">
        <v>1164</v>
      </c>
      <c r="L135" s="5" t="s">
        <v>71</v>
      </c>
      <c r="M135" s="14" t="s">
        <v>357</v>
      </c>
      <c r="N135" s="14"/>
      <c r="O135" s="14"/>
    </row>
    <row r="136" spans="1:15">
      <c r="A136" s="10" t="s">
        <v>443</v>
      </c>
      <c r="B136" s="17" t="s">
        <v>17</v>
      </c>
      <c r="C136" s="8" t="s">
        <v>46</v>
      </c>
      <c r="D136" s="52">
        <v>170.22</v>
      </c>
      <c r="E136" s="17" t="s">
        <v>270</v>
      </c>
      <c r="F136" s="17"/>
      <c r="G136" s="17" t="s">
        <v>49</v>
      </c>
      <c r="H136" s="17"/>
      <c r="I136" s="59"/>
      <c r="J136" s="49"/>
      <c r="K136" s="5" t="s">
        <v>1164</v>
      </c>
      <c r="L136" s="5" t="s">
        <v>71</v>
      </c>
      <c r="M136" s="14" t="s">
        <v>357</v>
      </c>
      <c r="N136" s="14"/>
      <c r="O136" s="14"/>
    </row>
    <row r="137" spans="1:15">
      <c r="A137" s="10" t="s">
        <v>444</v>
      </c>
      <c r="B137" s="17" t="s">
        <v>309</v>
      </c>
      <c r="C137" s="8" t="s">
        <v>46</v>
      </c>
      <c r="D137" s="52">
        <v>4.6666666666666696</v>
      </c>
      <c r="E137" s="17" t="s">
        <v>270</v>
      </c>
      <c r="F137" s="17"/>
      <c r="G137" s="17" t="s">
        <v>49</v>
      </c>
      <c r="H137" s="17"/>
      <c r="I137" s="25"/>
      <c r="J137" s="49"/>
      <c r="K137" s="5" t="s">
        <v>1164</v>
      </c>
      <c r="L137" s="5" t="s">
        <v>71</v>
      </c>
      <c r="M137" s="14" t="s">
        <v>357</v>
      </c>
      <c r="N137" s="14"/>
      <c r="O137" s="14"/>
    </row>
    <row r="138" spans="1:15">
      <c r="A138" s="10" t="s">
        <v>445</v>
      </c>
      <c r="B138" s="17" t="s">
        <v>17</v>
      </c>
      <c r="C138" s="8" t="s">
        <v>46</v>
      </c>
      <c r="D138" s="50">
        <v>215.61199999999999</v>
      </c>
      <c r="E138" s="17" t="s">
        <v>270</v>
      </c>
      <c r="F138" s="17"/>
      <c r="G138" s="17" t="s">
        <v>49</v>
      </c>
      <c r="H138" s="17"/>
      <c r="I138" s="25"/>
      <c r="J138" s="49"/>
      <c r="K138" s="5" t="s">
        <v>1164</v>
      </c>
      <c r="L138" s="5" t="s">
        <v>71</v>
      </c>
      <c r="M138" s="14" t="s">
        <v>357</v>
      </c>
      <c r="N138" s="14"/>
      <c r="O138" s="14"/>
    </row>
    <row r="139" spans="1:15">
      <c r="A139" s="10" t="s">
        <v>446</v>
      </c>
      <c r="B139" s="17" t="s">
        <v>309</v>
      </c>
      <c r="C139" s="8" t="s">
        <v>46</v>
      </c>
      <c r="D139" s="50">
        <v>9.3333333333333304</v>
      </c>
      <c r="E139" s="17" t="s">
        <v>270</v>
      </c>
      <c r="F139" s="17"/>
      <c r="G139" s="17" t="s">
        <v>49</v>
      </c>
      <c r="H139" s="17"/>
      <c r="I139" s="25"/>
      <c r="J139" s="49"/>
      <c r="K139" s="5" t="s">
        <v>1164</v>
      </c>
      <c r="L139" s="5" t="s">
        <v>71</v>
      </c>
      <c r="M139" s="14" t="s">
        <v>357</v>
      </c>
      <c r="N139" s="14"/>
      <c r="O139" s="14"/>
    </row>
    <row r="140" spans="1:15">
      <c r="A140" s="10" t="s">
        <v>447</v>
      </c>
      <c r="B140" s="17" t="s">
        <v>17</v>
      </c>
      <c r="C140" s="8" t="s">
        <v>46</v>
      </c>
      <c r="D140" s="50">
        <v>62.414000000000001</v>
      </c>
      <c r="E140" s="17" t="s">
        <v>270</v>
      </c>
      <c r="F140" s="17"/>
      <c r="G140" s="17" t="s">
        <v>49</v>
      </c>
      <c r="H140" s="17"/>
      <c r="I140" s="25"/>
      <c r="J140" s="49"/>
      <c r="K140" s="5" t="s">
        <v>1164</v>
      </c>
      <c r="L140" s="5" t="s">
        <v>71</v>
      </c>
      <c r="M140" s="14" t="s">
        <v>357</v>
      </c>
      <c r="N140" s="14"/>
      <c r="O140" s="14"/>
    </row>
    <row r="141" spans="1:15">
      <c r="A141" s="10" t="s">
        <v>448</v>
      </c>
      <c r="B141" s="17" t="s">
        <v>309</v>
      </c>
      <c r="C141" s="8" t="s">
        <v>46</v>
      </c>
      <c r="D141" s="50">
        <v>2.3333333333333299</v>
      </c>
      <c r="E141" s="17" t="s">
        <v>270</v>
      </c>
      <c r="F141" s="8"/>
      <c r="G141" s="17" t="s">
        <v>49</v>
      </c>
      <c r="H141" s="8"/>
      <c r="I141" s="33" t="s">
        <v>449</v>
      </c>
      <c r="J141" s="49"/>
      <c r="K141" s="5" t="s">
        <v>1164</v>
      </c>
      <c r="L141" s="5" t="s">
        <v>71</v>
      </c>
      <c r="M141" s="14" t="s">
        <v>357</v>
      </c>
      <c r="N141" s="14"/>
      <c r="O141" s="14"/>
    </row>
    <row r="142" spans="1:15">
      <c r="A142" s="10" t="s">
        <v>450</v>
      </c>
      <c r="B142" s="17" t="s">
        <v>17</v>
      </c>
      <c r="C142" s="8" t="s">
        <v>46</v>
      </c>
      <c r="D142" s="50">
        <v>79.436000000000007</v>
      </c>
      <c r="E142" s="17" t="s">
        <v>270</v>
      </c>
      <c r="F142" s="17"/>
      <c r="G142" s="17" t="s">
        <v>49</v>
      </c>
      <c r="H142" s="51"/>
      <c r="I142" s="25"/>
      <c r="J142" s="49"/>
      <c r="K142" s="5" t="s">
        <v>1164</v>
      </c>
      <c r="L142" s="5" t="s">
        <v>71</v>
      </c>
      <c r="M142" s="14" t="s">
        <v>357</v>
      </c>
      <c r="N142" s="14"/>
      <c r="O142" s="14"/>
    </row>
    <row r="143" spans="1:15">
      <c r="A143" s="10" t="s">
        <v>451</v>
      </c>
      <c r="B143" s="17" t="s">
        <v>309</v>
      </c>
      <c r="C143" s="8" t="s">
        <v>46</v>
      </c>
      <c r="D143" s="50">
        <v>2.8</v>
      </c>
      <c r="E143" s="17" t="s">
        <v>270</v>
      </c>
      <c r="F143" s="17"/>
      <c r="G143" s="17" t="s">
        <v>49</v>
      </c>
      <c r="H143" s="51"/>
      <c r="I143" s="25"/>
      <c r="J143" s="49"/>
      <c r="K143" s="5" t="s">
        <v>1164</v>
      </c>
      <c r="L143" s="5" t="s">
        <v>71</v>
      </c>
      <c r="M143" s="14" t="s">
        <v>357</v>
      </c>
      <c r="N143" s="14"/>
      <c r="O143" s="14"/>
    </row>
    <row r="144" spans="1:15" ht="24.75">
      <c r="A144" s="10" t="s">
        <v>509</v>
      </c>
      <c r="B144" s="17" t="s">
        <v>17</v>
      </c>
      <c r="C144" s="8" t="s">
        <v>46</v>
      </c>
      <c r="D144" s="50">
        <v>1208.5619999999999</v>
      </c>
      <c r="E144" s="17" t="s">
        <v>270</v>
      </c>
      <c r="F144" s="17"/>
      <c r="G144" s="17" t="s">
        <v>49</v>
      </c>
      <c r="H144" s="51"/>
      <c r="I144" s="25" t="s">
        <v>510</v>
      </c>
      <c r="J144" s="49"/>
      <c r="K144" s="5" t="s">
        <v>1164</v>
      </c>
      <c r="L144" s="5" t="s">
        <v>71</v>
      </c>
      <c r="M144" s="14" t="s">
        <v>357</v>
      </c>
      <c r="N144" s="14"/>
      <c r="O144" s="14"/>
    </row>
    <row r="145" spans="1:15" ht="24.75">
      <c r="A145" s="10" t="s">
        <v>511</v>
      </c>
      <c r="B145" s="17" t="s">
        <v>309</v>
      </c>
      <c r="C145" s="8" t="s">
        <v>46</v>
      </c>
      <c r="D145" s="50">
        <v>20.943999999999999</v>
      </c>
      <c r="E145" s="17" t="s">
        <v>270</v>
      </c>
      <c r="F145" s="17"/>
      <c r="G145" s="17" t="s">
        <v>49</v>
      </c>
      <c r="H145" s="51"/>
      <c r="I145" s="25" t="s">
        <v>510</v>
      </c>
      <c r="J145" s="49"/>
      <c r="K145" s="5" t="s">
        <v>1164</v>
      </c>
      <c r="L145" s="5" t="s">
        <v>71</v>
      </c>
      <c r="M145" s="14" t="s">
        <v>357</v>
      </c>
      <c r="N145" s="14"/>
      <c r="O145" s="14"/>
    </row>
    <row r="146" spans="1:15" ht="24.75">
      <c r="A146" s="10" t="s">
        <v>512</v>
      </c>
      <c r="B146" s="17" t="s">
        <v>17</v>
      </c>
      <c r="C146" s="8" t="s">
        <v>46</v>
      </c>
      <c r="D146" s="52">
        <v>278.02600000000001</v>
      </c>
      <c r="E146" s="17" t="s">
        <v>270</v>
      </c>
      <c r="F146" s="17"/>
      <c r="G146" s="17" t="s">
        <v>49</v>
      </c>
      <c r="H146" s="51"/>
      <c r="I146" s="33" t="s">
        <v>469</v>
      </c>
      <c r="J146" s="49"/>
      <c r="K146" s="5" t="s">
        <v>1164</v>
      </c>
      <c r="L146" s="5" t="s">
        <v>71</v>
      </c>
      <c r="M146" s="14" t="s">
        <v>357</v>
      </c>
      <c r="N146" s="14"/>
      <c r="O146" s="14"/>
    </row>
    <row r="147" spans="1:15" ht="24.75">
      <c r="A147" s="10" t="s">
        <v>513</v>
      </c>
      <c r="B147" s="17" t="s">
        <v>309</v>
      </c>
      <c r="C147" s="8" t="s">
        <v>46</v>
      </c>
      <c r="D147" s="52">
        <v>3.12666666666667</v>
      </c>
      <c r="E147" s="17" t="s">
        <v>270</v>
      </c>
      <c r="F147" s="17"/>
      <c r="G147" s="17" t="s">
        <v>49</v>
      </c>
      <c r="H147" s="51"/>
      <c r="I147" s="33" t="s">
        <v>469</v>
      </c>
      <c r="J147" s="49"/>
      <c r="K147" s="5" t="s">
        <v>1164</v>
      </c>
      <c r="L147" s="5" t="s">
        <v>71</v>
      </c>
      <c r="M147" s="14" t="s">
        <v>357</v>
      </c>
      <c r="N147" s="14"/>
      <c r="O147" s="14"/>
    </row>
    <row r="148" spans="1:15" ht="24.75">
      <c r="A148" s="10" t="s">
        <v>514</v>
      </c>
      <c r="B148" s="17" t="s">
        <v>17</v>
      </c>
      <c r="C148" s="8" t="s">
        <v>46</v>
      </c>
      <c r="D148" s="52">
        <v>198.59</v>
      </c>
      <c r="E148" s="17" t="s">
        <v>270</v>
      </c>
      <c r="F148" s="17"/>
      <c r="G148" s="17" t="s">
        <v>49</v>
      </c>
      <c r="H148" s="51"/>
      <c r="I148" s="33" t="s">
        <v>469</v>
      </c>
      <c r="J148" s="49"/>
      <c r="K148" s="5" t="s">
        <v>1164</v>
      </c>
      <c r="L148" s="5" t="s">
        <v>71</v>
      </c>
      <c r="M148" s="14" t="s">
        <v>357</v>
      </c>
      <c r="N148" s="14"/>
      <c r="O148" s="14"/>
    </row>
    <row r="149" spans="1:15" ht="24.75">
      <c r="A149" s="10" t="s">
        <v>515</v>
      </c>
      <c r="B149" s="17" t="s">
        <v>309</v>
      </c>
      <c r="C149" s="8" t="s">
        <v>46</v>
      </c>
      <c r="D149" s="52">
        <v>3.12666666666667</v>
      </c>
      <c r="E149" s="17" t="s">
        <v>270</v>
      </c>
      <c r="F149" s="17"/>
      <c r="G149" s="17" t="s">
        <v>49</v>
      </c>
      <c r="H149" s="51"/>
      <c r="I149" s="33" t="s">
        <v>469</v>
      </c>
      <c r="J149" s="49"/>
      <c r="K149" s="5" t="s">
        <v>1164</v>
      </c>
      <c r="L149" s="5" t="s">
        <v>71</v>
      </c>
      <c r="M149" s="14" t="s">
        <v>357</v>
      </c>
      <c r="N149" s="14"/>
      <c r="O149" s="14"/>
    </row>
    <row r="150" spans="1:15" ht="24.75">
      <c r="A150" s="10" t="s">
        <v>516</v>
      </c>
      <c r="B150" s="17" t="s">
        <v>17</v>
      </c>
      <c r="C150" s="8" t="s">
        <v>46</v>
      </c>
      <c r="D150" s="52">
        <v>556.05200000000002</v>
      </c>
      <c r="E150" s="17" t="s">
        <v>270</v>
      </c>
      <c r="F150" s="17"/>
      <c r="G150" s="17" t="s">
        <v>49</v>
      </c>
      <c r="H150" s="51"/>
      <c r="I150" s="33" t="s">
        <v>469</v>
      </c>
      <c r="J150" s="49"/>
      <c r="K150" s="5" t="s">
        <v>1164</v>
      </c>
      <c r="L150" s="5" t="s">
        <v>71</v>
      </c>
      <c r="M150" s="14" t="s">
        <v>357</v>
      </c>
      <c r="N150" s="14"/>
      <c r="O150" s="14"/>
    </row>
    <row r="151" spans="1:15" ht="24.75">
      <c r="A151" s="10" t="s">
        <v>517</v>
      </c>
      <c r="B151" s="17" t="s">
        <v>309</v>
      </c>
      <c r="C151" s="8" t="s">
        <v>46</v>
      </c>
      <c r="D151" s="52">
        <v>10.6306666666667</v>
      </c>
      <c r="E151" s="17" t="s">
        <v>270</v>
      </c>
      <c r="F151" s="17"/>
      <c r="G151" s="17" t="s">
        <v>49</v>
      </c>
      <c r="H151" s="51"/>
      <c r="I151" s="33" t="s">
        <v>469</v>
      </c>
      <c r="J151" s="49"/>
      <c r="K151" s="5" t="s">
        <v>1164</v>
      </c>
      <c r="L151" s="5" t="s">
        <v>71</v>
      </c>
      <c r="M151" s="14" t="s">
        <v>357</v>
      </c>
      <c r="N151" s="14"/>
      <c r="O151" s="14"/>
    </row>
    <row r="152" spans="1:15" ht="24.75">
      <c r="A152" s="10" t="s">
        <v>518</v>
      </c>
      <c r="B152" s="17" t="s">
        <v>17</v>
      </c>
      <c r="C152" s="8" t="s">
        <v>46</v>
      </c>
      <c r="D152" s="52">
        <v>119.154</v>
      </c>
      <c r="E152" s="17" t="s">
        <v>270</v>
      </c>
      <c r="F152" s="17"/>
      <c r="G152" s="17" t="s">
        <v>49</v>
      </c>
      <c r="H152" s="51"/>
      <c r="I152" s="33" t="s">
        <v>469</v>
      </c>
      <c r="J152" s="49"/>
      <c r="K152" s="5" t="s">
        <v>1164</v>
      </c>
      <c r="L152" s="5" t="s">
        <v>71</v>
      </c>
      <c r="M152" s="14" t="s">
        <v>357</v>
      </c>
      <c r="N152" s="14"/>
      <c r="O152" s="14"/>
    </row>
    <row r="153" spans="1:15" ht="24.75">
      <c r="A153" s="10" t="s">
        <v>519</v>
      </c>
      <c r="B153" s="17" t="s">
        <v>309</v>
      </c>
      <c r="C153" s="8" t="s">
        <v>46</v>
      </c>
      <c r="D153" s="52">
        <v>3.12666666666667</v>
      </c>
      <c r="E153" s="17" t="s">
        <v>270</v>
      </c>
      <c r="F153" s="17"/>
      <c r="G153" s="17" t="s">
        <v>49</v>
      </c>
      <c r="H153" s="51"/>
      <c r="I153" s="33" t="s">
        <v>469</v>
      </c>
      <c r="J153" s="49"/>
      <c r="K153" s="5" t="s">
        <v>1164</v>
      </c>
      <c r="L153" s="5" t="s">
        <v>71</v>
      </c>
      <c r="M153" s="14" t="s">
        <v>357</v>
      </c>
      <c r="N153" s="14"/>
      <c r="O153" s="14"/>
    </row>
    <row r="154" spans="1:15">
      <c r="A154" s="10" t="s">
        <v>452</v>
      </c>
      <c r="B154" s="17" t="s">
        <v>17</v>
      </c>
      <c r="C154" s="8" t="s">
        <v>46</v>
      </c>
      <c r="D154" s="52">
        <v>1021.32</v>
      </c>
      <c r="E154" s="17" t="s">
        <v>270</v>
      </c>
      <c r="F154" s="26"/>
      <c r="G154" s="17" t="s">
        <v>49</v>
      </c>
      <c r="H154" s="5"/>
      <c r="I154" s="59"/>
      <c r="J154" s="56"/>
      <c r="K154" s="5" t="s">
        <v>1164</v>
      </c>
      <c r="L154" s="5" t="s">
        <v>71</v>
      </c>
      <c r="M154" s="14" t="s">
        <v>357</v>
      </c>
      <c r="N154" s="14"/>
      <c r="O154" s="14"/>
    </row>
    <row r="155" spans="1:15">
      <c r="A155" s="10" t="s">
        <v>453</v>
      </c>
      <c r="B155" s="17" t="s">
        <v>309</v>
      </c>
      <c r="C155" s="8" t="s">
        <v>46</v>
      </c>
      <c r="D155" s="52">
        <v>93.3333333333333</v>
      </c>
      <c r="E155" s="17" t="s">
        <v>270</v>
      </c>
      <c r="F155" s="26"/>
      <c r="G155" s="17" t="s">
        <v>49</v>
      </c>
      <c r="H155" s="5"/>
      <c r="I155" s="33"/>
      <c r="J155" s="56"/>
      <c r="K155" s="5" t="s">
        <v>1164</v>
      </c>
      <c r="L155" s="5" t="s">
        <v>71</v>
      </c>
      <c r="M155" s="14" t="s">
        <v>357</v>
      </c>
      <c r="N155" s="14"/>
      <c r="O155" s="14"/>
    </row>
    <row r="156" spans="1:15">
      <c r="F156" s="2"/>
      <c r="G156" s="2"/>
    </row>
    <row r="157" spans="1:15">
      <c r="F157" s="2"/>
      <c r="G157" s="2"/>
    </row>
    <row r="158" spans="1:15">
      <c r="E158" s="2"/>
    </row>
    <row r="159" spans="1:15">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E2" activePane="bottomRight" state="frozen"/>
      <selection pane="topRight" activeCell="B1" sqref="B1"/>
      <selection pane="bottomLeft" activeCell="A2" sqref="A2"/>
      <selection pane="bottomRight" activeCell="Q1" sqref="Q1"/>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s="63" customFormat="1" ht="72">
      <c r="A2" s="61" t="s">
        <v>520</v>
      </c>
      <c r="B2" s="5" t="s">
        <v>521</v>
      </c>
      <c r="C2" s="8" t="s">
        <v>46</v>
      </c>
      <c r="D2" s="8"/>
      <c r="E2" s="8"/>
      <c r="F2" s="5" t="s">
        <v>522</v>
      </c>
      <c r="G2" s="5" t="s">
        <v>523</v>
      </c>
      <c r="H2" s="62"/>
      <c r="I2" s="5" t="s">
        <v>49</v>
      </c>
      <c r="J2" s="5"/>
      <c r="K2" s="26" t="s">
        <v>524</v>
      </c>
      <c r="L2" s="5"/>
      <c r="M2" s="5" t="s">
        <v>525</v>
      </c>
      <c r="N2" s="5" t="s">
        <v>51</v>
      </c>
      <c r="O2" s="5" t="s">
        <v>52</v>
      </c>
      <c r="P2" s="5"/>
      <c r="Q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3"/>
  <sheetViews>
    <sheetView zoomScaleNormal="100" workbookViewId="0">
      <pane xSplit="1" topLeftCell="G1" activePane="topRight" state="frozen"/>
      <selection pane="topRight"/>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7" width="10.140625" customWidth="1"/>
  </cols>
  <sheetData>
    <row r="1" spans="1:17"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ht="24">
      <c r="A2" s="48" t="s">
        <v>526</v>
      </c>
      <c r="B2" s="14"/>
      <c r="C2" s="8"/>
      <c r="D2" s="8"/>
      <c r="E2" s="8"/>
      <c r="F2" s="14"/>
      <c r="G2" s="14"/>
      <c r="H2" s="14"/>
      <c r="I2" s="5"/>
      <c r="J2" s="8" t="s">
        <v>527</v>
      </c>
      <c r="K2" s="14"/>
      <c r="L2" s="59"/>
      <c r="M2" s="66" t="s">
        <v>528</v>
      </c>
      <c r="N2" s="5"/>
      <c r="O2" s="66" t="s">
        <v>52</v>
      </c>
      <c r="P2" s="66"/>
      <c r="Q2" s="66"/>
    </row>
    <row r="3" spans="1:17">
      <c r="A3" s="67" t="s">
        <v>529</v>
      </c>
      <c r="B3" s="14" t="s">
        <v>530</v>
      </c>
      <c r="C3" s="8" t="s">
        <v>46</v>
      </c>
      <c r="D3" s="8"/>
      <c r="E3" s="8"/>
      <c r="F3" s="14">
        <v>37</v>
      </c>
      <c r="G3" s="14" t="s">
        <v>55</v>
      </c>
      <c r="H3" s="59"/>
      <c r="I3" s="5" t="s">
        <v>49</v>
      </c>
      <c r="J3" s="14"/>
      <c r="K3" s="14"/>
      <c r="L3" s="59"/>
      <c r="M3" s="66" t="s">
        <v>528</v>
      </c>
      <c r="N3" s="5" t="s">
        <v>71</v>
      </c>
      <c r="O3" s="66" t="s">
        <v>52</v>
      </c>
      <c r="P3" s="66">
        <v>1</v>
      </c>
      <c r="Q3" s="66"/>
    </row>
    <row r="4" spans="1:17">
      <c r="A4" s="68" t="s">
        <v>531</v>
      </c>
      <c r="B4" s="69" t="s">
        <v>532</v>
      </c>
      <c r="C4" s="70" t="s">
        <v>46</v>
      </c>
      <c r="D4" s="70"/>
      <c r="E4" s="70"/>
      <c r="F4" s="2">
        <v>0.17599999999999999</v>
      </c>
      <c r="G4" s="69" t="s">
        <v>533</v>
      </c>
      <c r="H4" s="71"/>
      <c r="I4" s="72" t="s">
        <v>49</v>
      </c>
      <c r="J4" s="69"/>
      <c r="K4" s="69" t="s">
        <v>534</v>
      </c>
      <c r="L4" s="71"/>
      <c r="M4" s="73" t="s">
        <v>528</v>
      </c>
      <c r="N4" s="72" t="s">
        <v>140</v>
      </c>
      <c r="O4" s="73" t="s">
        <v>52</v>
      </c>
      <c r="P4" s="73">
        <v>3</v>
      </c>
      <c r="Q4" s="73"/>
    </row>
    <row r="5" spans="1:17" s="45" customFormat="1">
      <c r="A5" s="48" t="s">
        <v>535</v>
      </c>
      <c r="B5" s="14"/>
      <c r="C5" s="14"/>
      <c r="D5" s="8"/>
      <c r="E5" s="8"/>
      <c r="F5" s="14"/>
      <c r="G5" s="14"/>
      <c r="H5" s="14"/>
      <c r="I5" s="5"/>
      <c r="J5" s="14" t="s">
        <v>536</v>
      </c>
      <c r="K5" s="14"/>
      <c r="L5" s="14"/>
      <c r="M5" s="66" t="s">
        <v>528</v>
      </c>
      <c r="N5" s="14"/>
      <c r="O5" s="66" t="s">
        <v>52</v>
      </c>
      <c r="P5" s="66"/>
      <c r="Q5" s="66"/>
    </row>
    <row r="6" spans="1:17" ht="24">
      <c r="A6" s="74" t="s">
        <v>537</v>
      </c>
      <c r="B6" s="75"/>
      <c r="C6" s="11"/>
      <c r="D6" s="11"/>
      <c r="E6" s="11"/>
      <c r="F6" s="75"/>
      <c r="G6" s="75"/>
      <c r="H6" s="75"/>
      <c r="I6" s="76"/>
      <c r="J6" s="11" t="s">
        <v>538</v>
      </c>
      <c r="K6" s="75"/>
      <c r="L6" s="77"/>
      <c r="M6" s="78" t="s">
        <v>528</v>
      </c>
      <c r="N6" s="76"/>
      <c r="O6" s="78" t="s">
        <v>52</v>
      </c>
      <c r="P6" s="78"/>
      <c r="Q6" s="78"/>
    </row>
    <row r="7" spans="1:17">
      <c r="A7" s="67" t="s">
        <v>539</v>
      </c>
      <c r="B7" s="14" t="s">
        <v>540</v>
      </c>
      <c r="C7" s="8" t="s">
        <v>46</v>
      </c>
      <c r="D7" s="8"/>
      <c r="E7" s="8"/>
      <c r="F7" s="14">
        <v>308</v>
      </c>
      <c r="G7" s="14" t="s">
        <v>541</v>
      </c>
      <c r="H7" s="59"/>
      <c r="I7" s="5" t="s">
        <v>49</v>
      </c>
      <c r="J7" s="14"/>
      <c r="K7" s="14"/>
      <c r="L7" s="59"/>
      <c r="M7" s="66" t="s">
        <v>528</v>
      </c>
      <c r="N7" s="5" t="s">
        <v>71</v>
      </c>
      <c r="O7" s="66" t="s">
        <v>52</v>
      </c>
      <c r="P7" s="66"/>
      <c r="Q7" s="66"/>
    </row>
    <row r="8" spans="1:17">
      <c r="A8" s="67" t="s">
        <v>542</v>
      </c>
      <c r="B8" s="14" t="s">
        <v>543</v>
      </c>
      <c r="C8" s="8" t="s">
        <v>46</v>
      </c>
      <c r="D8" s="8"/>
      <c r="E8" s="8"/>
      <c r="F8" s="14">
        <v>1.3</v>
      </c>
      <c r="G8" s="14" t="s">
        <v>544</v>
      </c>
      <c r="H8" s="59"/>
      <c r="I8" s="5" t="s">
        <v>49</v>
      </c>
      <c r="J8" s="14"/>
      <c r="K8" s="14"/>
      <c r="L8" s="59"/>
      <c r="M8" s="66" t="s">
        <v>528</v>
      </c>
      <c r="N8" s="5" t="s">
        <v>71</v>
      </c>
      <c r="O8" s="66" t="s">
        <v>52</v>
      </c>
      <c r="P8" s="66">
        <v>2</v>
      </c>
      <c r="Q8" s="66"/>
    </row>
    <row r="9" spans="1:17">
      <c r="A9" s="67" t="s">
        <v>545</v>
      </c>
      <c r="B9" s="14" t="s">
        <v>530</v>
      </c>
      <c r="C9" s="8" t="s">
        <v>46</v>
      </c>
      <c r="D9" s="8"/>
      <c r="E9" s="8"/>
      <c r="F9" s="14">
        <v>33</v>
      </c>
      <c r="G9" s="14" t="s">
        <v>55</v>
      </c>
      <c r="H9" s="59"/>
      <c r="I9" s="5" t="s">
        <v>49</v>
      </c>
      <c r="J9" s="14"/>
      <c r="K9" s="14"/>
      <c r="L9" s="59"/>
      <c r="M9" s="66" t="s">
        <v>528</v>
      </c>
      <c r="N9" s="5" t="s">
        <v>71</v>
      </c>
      <c r="O9" s="66" t="s">
        <v>52</v>
      </c>
      <c r="P9" s="66">
        <v>1</v>
      </c>
      <c r="Q9" s="66"/>
    </row>
    <row r="10" spans="1:17" ht="24">
      <c r="A10" s="67" t="s">
        <v>1165</v>
      </c>
      <c r="B10" s="14" t="s">
        <v>776</v>
      </c>
      <c r="C10" s="8" t="s">
        <v>46</v>
      </c>
      <c r="D10" s="8"/>
      <c r="E10" s="8"/>
      <c r="F10" s="14">
        <v>347</v>
      </c>
      <c r="G10" s="14" t="s">
        <v>1167</v>
      </c>
      <c r="H10" s="13"/>
      <c r="I10" s="5" t="s">
        <v>49</v>
      </c>
      <c r="J10" s="8" t="s">
        <v>1166</v>
      </c>
      <c r="K10" s="13"/>
      <c r="L10" s="59"/>
      <c r="M10" s="66" t="s">
        <v>528</v>
      </c>
      <c r="N10" s="5" t="s">
        <v>71</v>
      </c>
      <c r="O10" s="66" t="s">
        <v>52</v>
      </c>
      <c r="P10" s="66">
        <v>2</v>
      </c>
      <c r="Q10" s="66"/>
    </row>
    <row r="11" spans="1:17">
      <c r="A11" s="67" t="s">
        <v>546</v>
      </c>
      <c r="B11" s="14" t="s">
        <v>547</v>
      </c>
      <c r="C11" s="8" t="s">
        <v>46</v>
      </c>
      <c r="D11" s="8"/>
      <c r="E11" s="8"/>
      <c r="F11" s="14" t="s">
        <v>548</v>
      </c>
      <c r="G11" s="14" t="s">
        <v>549</v>
      </c>
      <c r="H11" s="59"/>
      <c r="I11" s="5" t="s">
        <v>49</v>
      </c>
      <c r="J11" s="14" t="s">
        <v>550</v>
      </c>
      <c r="K11" s="14" t="s">
        <v>551</v>
      </c>
      <c r="L11" s="59"/>
      <c r="M11" s="66" t="s">
        <v>528</v>
      </c>
      <c r="N11" s="5" t="s">
        <v>57</v>
      </c>
      <c r="O11" s="66" t="s">
        <v>52</v>
      </c>
      <c r="P11" s="66"/>
      <c r="Q11" s="66"/>
    </row>
    <row r="12" spans="1:17" ht="24">
      <c r="A12" s="48" t="s">
        <v>552</v>
      </c>
      <c r="B12" s="13"/>
      <c r="C12" s="8"/>
      <c r="D12" s="8"/>
      <c r="E12" s="8"/>
      <c r="F12" s="13"/>
      <c r="G12" s="13"/>
      <c r="H12" s="13"/>
      <c r="I12" s="5"/>
      <c r="J12" s="8" t="s">
        <v>538</v>
      </c>
      <c r="K12" s="13"/>
      <c r="L12" s="59"/>
      <c r="M12" s="66" t="s">
        <v>528</v>
      </c>
      <c r="N12" s="5"/>
      <c r="O12" s="66" t="s">
        <v>52</v>
      </c>
      <c r="P12" s="66"/>
      <c r="Q12" s="66"/>
    </row>
    <row r="13" spans="1:17">
      <c r="O13" s="64"/>
      <c r="P13" s="64"/>
      <c r="Q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8"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79" t="s">
        <v>553</v>
      </c>
      <c r="B2" s="18" t="s">
        <v>14</v>
      </c>
      <c r="C2" s="18" t="s">
        <v>46</v>
      </c>
      <c r="D2" s="8"/>
      <c r="E2" s="8"/>
      <c r="F2" s="18" t="s">
        <v>554</v>
      </c>
      <c r="G2" s="18" t="s">
        <v>555</v>
      </c>
      <c r="H2" s="18"/>
      <c r="I2" s="18" t="s">
        <v>49</v>
      </c>
      <c r="J2" s="18"/>
      <c r="K2" s="18" t="s">
        <v>556</v>
      </c>
      <c r="L2" s="14"/>
      <c r="M2" s="14" t="s">
        <v>557</v>
      </c>
      <c r="N2" s="5" t="s">
        <v>71</v>
      </c>
      <c r="O2" s="14" t="s">
        <v>52</v>
      </c>
      <c r="P2" s="14"/>
      <c r="Q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80" t="s">
        <v>558</v>
      </c>
      <c r="B2" s="14"/>
      <c r="C2" s="14"/>
      <c r="D2" s="14"/>
      <c r="E2" s="14"/>
      <c r="F2" s="14"/>
      <c r="G2" s="14"/>
      <c r="H2" s="14"/>
      <c r="I2" s="14"/>
      <c r="J2" s="14"/>
      <c r="K2" s="14"/>
      <c r="L2" s="14"/>
      <c r="M2" s="14"/>
      <c r="N2" s="5"/>
      <c r="O2" s="14" t="s">
        <v>52</v>
      </c>
      <c r="P2" s="14">
        <v>9</v>
      </c>
      <c r="Q2" s="14"/>
    </row>
    <row r="3" spans="1:17">
      <c r="A3" s="80" t="s">
        <v>559</v>
      </c>
      <c r="B3" s="14"/>
      <c r="C3" s="14"/>
      <c r="D3" s="14"/>
      <c r="E3" s="14"/>
      <c r="F3" s="14"/>
      <c r="G3" s="14"/>
      <c r="H3" s="14"/>
      <c r="I3" s="14"/>
      <c r="J3" s="14"/>
      <c r="K3" s="14"/>
      <c r="L3" s="14"/>
      <c r="M3" s="14"/>
      <c r="N3" s="5"/>
      <c r="O3" s="14" t="s">
        <v>52</v>
      </c>
      <c r="P3" s="14">
        <v>9</v>
      </c>
      <c r="Q3" s="14"/>
    </row>
    <row r="4" spans="1:17">
      <c r="A4" s="80" t="s">
        <v>560</v>
      </c>
      <c r="B4" s="14"/>
      <c r="C4" s="14"/>
      <c r="D4" s="14"/>
      <c r="E4" s="14"/>
      <c r="F4" s="14"/>
      <c r="G4" s="14"/>
      <c r="H4" s="14"/>
      <c r="I4" s="14"/>
      <c r="J4" s="14"/>
      <c r="K4" s="14"/>
      <c r="L4" s="14"/>
      <c r="M4" s="14"/>
      <c r="N4" s="5"/>
      <c r="O4" s="14" t="s">
        <v>52</v>
      </c>
      <c r="P4" s="14">
        <v>9</v>
      </c>
      <c r="Q4" s="14"/>
    </row>
    <row r="5" spans="1:17">
      <c r="A5" s="80" t="s">
        <v>561</v>
      </c>
      <c r="B5" s="14"/>
      <c r="C5" s="14"/>
      <c r="D5" s="14"/>
      <c r="E5" s="14"/>
      <c r="F5" s="14"/>
      <c r="G5" s="14"/>
      <c r="H5" s="14"/>
      <c r="I5" s="14"/>
      <c r="J5" s="14"/>
      <c r="K5" s="14"/>
      <c r="L5" s="14"/>
      <c r="M5" s="14"/>
      <c r="N5" s="5"/>
      <c r="O5" s="14" t="s">
        <v>52</v>
      </c>
      <c r="P5" s="14">
        <v>9</v>
      </c>
      <c r="Q5" s="14"/>
    </row>
    <row r="6" spans="1:17">
      <c r="A6" s="80" t="s">
        <v>562</v>
      </c>
      <c r="B6" s="14"/>
      <c r="C6" s="14"/>
      <c r="D6" s="14"/>
      <c r="E6" s="14"/>
      <c r="F6" s="14"/>
      <c r="G6" s="14"/>
      <c r="H6" s="14"/>
      <c r="I6" s="14"/>
      <c r="J6" s="14"/>
      <c r="K6" s="14"/>
      <c r="L6" s="14"/>
      <c r="M6" s="14"/>
      <c r="N6" s="5"/>
      <c r="O6" s="14" t="s">
        <v>52</v>
      </c>
      <c r="P6" s="14"/>
      <c r="Q6" s="14"/>
    </row>
    <row r="7" spans="1:17">
      <c r="A7" s="80" t="s">
        <v>563</v>
      </c>
      <c r="B7" s="14"/>
      <c r="C7" s="14"/>
      <c r="D7" s="14"/>
      <c r="E7" s="14"/>
      <c r="F7" s="14"/>
      <c r="G7" s="14"/>
      <c r="H7" s="14"/>
      <c r="I7" s="14"/>
      <c r="J7" s="14"/>
      <c r="K7" s="14"/>
      <c r="L7" s="14"/>
      <c r="M7" s="14"/>
      <c r="N7" s="5"/>
      <c r="O7" s="14" t="s">
        <v>52</v>
      </c>
      <c r="P7" s="14"/>
      <c r="Q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topLeftCell="A47" zoomScaleNormal="100" workbookViewId="0">
      <pane xSplit="1" topLeftCell="B1" activePane="topRight" state="frozen"/>
      <selection pane="topRight" activeCell="K102" sqref="K102"/>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7" width="9.140625" style="45"/>
    <col min="18"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564</v>
      </c>
      <c r="B2" s="8"/>
      <c r="C2" s="8" t="s">
        <v>46</v>
      </c>
      <c r="D2" s="8"/>
      <c r="E2" s="8"/>
      <c r="F2" s="8">
        <v>0.2</v>
      </c>
      <c r="G2" s="8" t="s">
        <v>15</v>
      </c>
      <c r="H2" s="8">
        <v>317</v>
      </c>
      <c r="I2" s="8" t="s">
        <v>49</v>
      </c>
      <c r="J2" s="8" t="s">
        <v>565</v>
      </c>
      <c r="K2" s="8"/>
      <c r="L2" s="4"/>
      <c r="M2" s="5" t="s">
        <v>566</v>
      </c>
      <c r="N2" s="5" t="s">
        <v>51</v>
      </c>
      <c r="O2" s="14" t="s">
        <v>52</v>
      </c>
      <c r="P2" s="14">
        <v>2</v>
      </c>
      <c r="Q2" s="14"/>
    </row>
    <row r="3" spans="1:17">
      <c r="A3" s="10" t="s">
        <v>567</v>
      </c>
      <c r="B3" s="8" t="s">
        <v>568</v>
      </c>
      <c r="C3" s="8" t="s">
        <v>46</v>
      </c>
      <c r="D3" s="8"/>
      <c r="E3" s="8"/>
      <c r="F3" s="8">
        <v>180</v>
      </c>
      <c r="G3" s="8" t="s">
        <v>15</v>
      </c>
      <c r="H3" s="8">
        <v>315</v>
      </c>
      <c r="I3" s="8" t="s">
        <v>569</v>
      </c>
      <c r="J3" s="8"/>
      <c r="K3" s="8"/>
      <c r="L3" s="13"/>
      <c r="M3" s="5" t="s">
        <v>566</v>
      </c>
      <c r="N3" s="5" t="s">
        <v>71</v>
      </c>
      <c r="O3" s="14" t="s">
        <v>52</v>
      </c>
      <c r="P3" s="14"/>
      <c r="Q3" s="14"/>
    </row>
    <row r="4" spans="1:17">
      <c r="A4" s="10" t="s">
        <v>570</v>
      </c>
      <c r="B4" s="8" t="s">
        <v>14</v>
      </c>
      <c r="C4" s="8" t="s">
        <v>46</v>
      </c>
      <c r="D4" s="8"/>
      <c r="E4" s="8"/>
      <c r="F4" s="52">
        <f>Cardiovascular!F50*60</f>
        <v>1064</v>
      </c>
      <c r="G4" s="18" t="s">
        <v>270</v>
      </c>
      <c r="H4" s="8">
        <v>91</v>
      </c>
      <c r="I4" s="8" t="s">
        <v>569</v>
      </c>
      <c r="J4" s="8"/>
      <c r="K4" s="8"/>
      <c r="L4" s="4"/>
      <c r="M4" s="5" t="s">
        <v>566</v>
      </c>
      <c r="N4" s="5" t="s">
        <v>71</v>
      </c>
      <c r="O4" s="14" t="s">
        <v>52</v>
      </c>
      <c r="P4" s="14"/>
      <c r="Q4" s="14"/>
    </row>
    <row r="5" spans="1:17">
      <c r="A5" s="10" t="s">
        <v>571</v>
      </c>
      <c r="B5" s="8" t="s">
        <v>14</v>
      </c>
      <c r="C5" s="8" t="s">
        <v>46</v>
      </c>
      <c r="D5" s="8"/>
      <c r="E5" s="8"/>
      <c r="F5" s="8">
        <f>F4*0.6</f>
        <v>638.4</v>
      </c>
      <c r="G5" s="18" t="s">
        <v>112</v>
      </c>
      <c r="H5" s="8">
        <v>91</v>
      </c>
      <c r="I5" s="8" t="s">
        <v>569</v>
      </c>
      <c r="J5" s="8" t="s">
        <v>572</v>
      </c>
      <c r="K5" s="8"/>
      <c r="L5" s="4"/>
      <c r="M5" s="5" t="s">
        <v>566</v>
      </c>
      <c r="N5" s="5" t="s">
        <v>71</v>
      </c>
      <c r="O5" s="14" t="s">
        <v>52</v>
      </c>
      <c r="P5" s="14"/>
      <c r="Q5" s="14"/>
    </row>
    <row r="6" spans="1:17" ht="24">
      <c r="A6" s="10" t="s">
        <v>573</v>
      </c>
      <c r="B6" s="8" t="s">
        <v>574</v>
      </c>
      <c r="C6" s="8" t="s">
        <v>46</v>
      </c>
      <c r="D6" s="8"/>
      <c r="E6" s="8"/>
      <c r="F6" s="52">
        <v>0.08</v>
      </c>
      <c r="G6" s="8" t="s">
        <v>15</v>
      </c>
      <c r="H6" s="8">
        <v>320</v>
      </c>
      <c r="I6" s="8" t="s">
        <v>569</v>
      </c>
      <c r="J6" s="8"/>
      <c r="K6" s="8" t="s">
        <v>575</v>
      </c>
      <c r="L6" s="4"/>
      <c r="M6" s="5" t="s">
        <v>566</v>
      </c>
      <c r="N6" s="5" t="s">
        <v>140</v>
      </c>
      <c r="O6" s="14" t="s">
        <v>52</v>
      </c>
      <c r="P6" s="14">
        <v>3</v>
      </c>
      <c r="Q6" s="14"/>
    </row>
    <row r="7" spans="1:17" ht="24">
      <c r="A7" s="48" t="s">
        <v>576</v>
      </c>
      <c r="B7" s="26" t="s">
        <v>309</v>
      </c>
      <c r="C7" s="8" t="s">
        <v>46</v>
      </c>
      <c r="D7" s="8"/>
      <c r="E7" s="8"/>
      <c r="F7" s="26">
        <v>22</v>
      </c>
      <c r="G7" s="26" t="s">
        <v>577</v>
      </c>
      <c r="H7" s="26" t="s">
        <v>578</v>
      </c>
      <c r="I7" s="8"/>
      <c r="J7" s="4"/>
      <c r="K7" s="26" t="s">
        <v>579</v>
      </c>
      <c r="L7" s="5"/>
      <c r="M7" s="5" t="s">
        <v>566</v>
      </c>
      <c r="N7" s="5"/>
      <c r="O7" s="14" t="s">
        <v>52</v>
      </c>
      <c r="P7" s="14"/>
      <c r="Q7" s="14"/>
    </row>
    <row r="8" spans="1:17" ht="24">
      <c r="A8" s="10" t="s">
        <v>580</v>
      </c>
      <c r="B8" s="26" t="s">
        <v>581</v>
      </c>
      <c r="C8" s="8" t="s">
        <v>46</v>
      </c>
      <c r="D8" s="8"/>
      <c r="E8" s="8"/>
      <c r="F8" s="26" t="s">
        <v>582</v>
      </c>
      <c r="G8" s="26" t="s">
        <v>112</v>
      </c>
      <c r="H8" s="26" t="s">
        <v>583</v>
      </c>
      <c r="I8" s="8" t="s">
        <v>49</v>
      </c>
      <c r="J8" s="26"/>
      <c r="K8" s="8"/>
      <c r="L8" s="5"/>
      <c r="M8" s="5" t="s">
        <v>566</v>
      </c>
      <c r="N8" s="5" t="s">
        <v>57</v>
      </c>
      <c r="O8" s="14" t="s">
        <v>52</v>
      </c>
      <c r="P8" s="14">
        <v>1</v>
      </c>
      <c r="Q8" s="14"/>
    </row>
    <row r="9" spans="1:17">
      <c r="A9" s="10" t="s">
        <v>584</v>
      </c>
      <c r="B9" s="26" t="s">
        <v>585</v>
      </c>
      <c r="C9" s="8" t="s">
        <v>46</v>
      </c>
      <c r="D9" s="8"/>
      <c r="E9" s="8"/>
      <c r="F9" s="26" t="s">
        <v>582</v>
      </c>
      <c r="G9" s="26" t="s">
        <v>112</v>
      </c>
      <c r="H9" s="26" t="s">
        <v>586</v>
      </c>
      <c r="I9" s="8" t="s">
        <v>49</v>
      </c>
      <c r="J9" s="26"/>
      <c r="K9" s="8"/>
      <c r="L9" s="5"/>
      <c r="M9" s="5" t="s">
        <v>566</v>
      </c>
      <c r="N9" s="5" t="s">
        <v>57</v>
      </c>
      <c r="O9" s="14" t="s">
        <v>52</v>
      </c>
      <c r="P9" s="14">
        <v>1</v>
      </c>
      <c r="Q9" s="14"/>
    </row>
    <row r="10" spans="1:17">
      <c r="A10" s="10" t="s">
        <v>587</v>
      </c>
      <c r="B10" s="8" t="s">
        <v>568</v>
      </c>
      <c r="C10" s="8" t="s">
        <v>46</v>
      </c>
      <c r="D10" s="8"/>
      <c r="E10" s="8"/>
      <c r="F10" s="8">
        <v>1.5</v>
      </c>
      <c r="G10" s="8" t="s">
        <v>15</v>
      </c>
      <c r="H10" s="8">
        <v>315</v>
      </c>
      <c r="I10" s="8" t="s">
        <v>569</v>
      </c>
      <c r="J10" s="8"/>
      <c r="K10" s="8"/>
      <c r="L10" s="4"/>
      <c r="M10" s="5" t="s">
        <v>566</v>
      </c>
      <c r="N10" s="5" t="s">
        <v>51</v>
      </c>
      <c r="O10" s="14" t="s">
        <v>52</v>
      </c>
      <c r="P10" s="14">
        <v>2</v>
      </c>
      <c r="Q10" s="14"/>
    </row>
    <row r="11" spans="1:17" ht="24">
      <c r="A11" s="10" t="s">
        <v>588</v>
      </c>
      <c r="B11" s="26"/>
      <c r="C11" s="8" t="s">
        <v>46</v>
      </c>
      <c r="D11" s="8"/>
      <c r="E11" s="8"/>
      <c r="F11" s="26" t="s">
        <v>589</v>
      </c>
      <c r="G11" s="26" t="s">
        <v>590</v>
      </c>
      <c r="H11" s="26" t="s">
        <v>591</v>
      </c>
      <c r="I11" s="8" t="s">
        <v>49</v>
      </c>
      <c r="J11" s="26"/>
      <c r="K11" s="8"/>
      <c r="L11" s="5"/>
      <c r="M11" s="5" t="s">
        <v>566</v>
      </c>
      <c r="N11" s="5" t="s">
        <v>140</v>
      </c>
      <c r="O11" s="14" t="s">
        <v>52</v>
      </c>
      <c r="P11" s="14">
        <v>3</v>
      </c>
      <c r="Q11" s="14"/>
    </row>
    <row r="12" spans="1:17">
      <c r="A12" s="48" t="s">
        <v>592</v>
      </c>
      <c r="B12" s="8"/>
      <c r="C12" s="8"/>
      <c r="D12" s="8"/>
      <c r="E12" s="8"/>
      <c r="F12" s="8"/>
      <c r="G12" s="8"/>
      <c r="H12" s="8"/>
      <c r="I12" s="8"/>
      <c r="J12" s="8"/>
      <c r="K12" s="8"/>
      <c r="L12" s="4"/>
      <c r="M12" s="5" t="s">
        <v>566</v>
      </c>
      <c r="N12" s="5"/>
      <c r="O12" s="14" t="s">
        <v>52</v>
      </c>
      <c r="P12" s="14">
        <v>1</v>
      </c>
      <c r="Q12" s="14"/>
    </row>
    <row r="13" spans="1:17">
      <c r="A13" s="10" t="s">
        <v>593</v>
      </c>
      <c r="B13" s="26" t="s">
        <v>146</v>
      </c>
      <c r="C13" s="70" t="s">
        <v>46</v>
      </c>
      <c r="D13" s="8"/>
      <c r="E13" s="8"/>
      <c r="F13" s="82" t="s">
        <v>594</v>
      </c>
      <c r="G13" s="82" t="s">
        <v>112</v>
      </c>
      <c r="H13" s="82" t="s">
        <v>591</v>
      </c>
      <c r="I13" s="8" t="s">
        <v>49</v>
      </c>
      <c r="J13" s="82"/>
      <c r="K13" s="70"/>
      <c r="L13" s="82"/>
      <c r="M13" s="72" t="s">
        <v>566</v>
      </c>
      <c r="N13" s="5" t="s">
        <v>71</v>
      </c>
      <c r="O13" s="14" t="s">
        <v>52</v>
      </c>
      <c r="P13" s="14">
        <v>1</v>
      </c>
      <c r="Q13" s="14"/>
    </row>
    <row r="14" spans="1:17">
      <c r="A14" s="10" t="s">
        <v>595</v>
      </c>
      <c r="B14" s="26" t="s">
        <v>574</v>
      </c>
      <c r="C14" s="18" t="s">
        <v>46</v>
      </c>
      <c r="D14" s="8"/>
      <c r="E14" s="8"/>
      <c r="F14" s="18">
        <v>4.1700000000000001E-2</v>
      </c>
      <c r="G14" s="18" t="s">
        <v>15</v>
      </c>
      <c r="H14" s="18">
        <v>321</v>
      </c>
      <c r="I14" s="8" t="s">
        <v>569</v>
      </c>
      <c r="J14" s="18" t="s">
        <v>596</v>
      </c>
      <c r="K14" s="18"/>
      <c r="L14" s="62"/>
      <c r="M14" s="5" t="s">
        <v>566</v>
      </c>
      <c r="N14" s="5" t="s">
        <v>140</v>
      </c>
      <c r="O14" s="14" t="s">
        <v>52</v>
      </c>
      <c r="P14" s="14">
        <v>4</v>
      </c>
      <c r="Q14" s="14"/>
    </row>
    <row r="15" spans="1:17">
      <c r="A15" s="10" t="s">
        <v>597</v>
      </c>
      <c r="B15" s="5" t="s">
        <v>200</v>
      </c>
      <c r="C15" s="11" t="s">
        <v>46</v>
      </c>
      <c r="D15" s="8"/>
      <c r="E15" s="8"/>
      <c r="F15" s="76">
        <v>18</v>
      </c>
      <c r="G15" s="11" t="s">
        <v>15</v>
      </c>
      <c r="H15" s="76">
        <v>318</v>
      </c>
      <c r="I15" s="8" t="s">
        <v>569</v>
      </c>
      <c r="J15" s="11"/>
      <c r="K15" s="11"/>
      <c r="L15" s="83"/>
      <c r="M15" s="76" t="s">
        <v>566</v>
      </c>
      <c r="N15" s="5" t="s">
        <v>71</v>
      </c>
      <c r="O15" s="14" t="s">
        <v>52</v>
      </c>
      <c r="P15" s="14"/>
      <c r="Q15" s="14"/>
    </row>
    <row r="16" spans="1:17">
      <c r="A16" s="10" t="s">
        <v>598</v>
      </c>
      <c r="B16" s="72" t="s">
        <v>200</v>
      </c>
      <c r="C16" s="70" t="s">
        <v>46</v>
      </c>
      <c r="D16" s="8"/>
      <c r="E16" s="8"/>
      <c r="F16" s="72">
        <v>0</v>
      </c>
      <c r="G16" s="70" t="s">
        <v>15</v>
      </c>
      <c r="H16" s="72">
        <v>318</v>
      </c>
      <c r="I16" s="8" t="s">
        <v>569</v>
      </c>
      <c r="J16" s="70"/>
      <c r="K16" s="70"/>
      <c r="L16" s="84"/>
      <c r="M16" s="72" t="s">
        <v>566</v>
      </c>
      <c r="N16" s="5" t="s">
        <v>71</v>
      </c>
      <c r="O16" s="14" t="s">
        <v>52</v>
      </c>
      <c r="P16" s="14">
        <v>1</v>
      </c>
      <c r="Q16" s="14"/>
    </row>
    <row r="17" spans="1:17">
      <c r="A17" s="85" t="s">
        <v>599</v>
      </c>
      <c r="B17" s="72" t="s">
        <v>574</v>
      </c>
      <c r="C17" s="18" t="s">
        <v>46</v>
      </c>
      <c r="D17" s="8"/>
      <c r="E17" s="8"/>
      <c r="F17" s="18">
        <v>7.6300000000000007E-2</v>
      </c>
      <c r="G17" s="18" t="s">
        <v>15</v>
      </c>
      <c r="H17" s="18">
        <v>321</v>
      </c>
      <c r="I17" s="8" t="s">
        <v>569</v>
      </c>
      <c r="J17" s="18" t="s">
        <v>600</v>
      </c>
      <c r="K17" s="18"/>
      <c r="L17" s="62"/>
      <c r="M17" s="5" t="s">
        <v>566</v>
      </c>
      <c r="N17" s="5" t="s">
        <v>140</v>
      </c>
      <c r="O17" s="14" t="s">
        <v>52</v>
      </c>
      <c r="P17" s="14">
        <v>4</v>
      </c>
      <c r="Q17" s="14"/>
    </row>
    <row r="18" spans="1:17">
      <c r="A18" s="85" t="s">
        <v>601</v>
      </c>
      <c r="B18" s="18"/>
      <c r="C18" s="86" t="s">
        <v>46</v>
      </c>
      <c r="D18" s="8"/>
      <c r="E18" s="8"/>
      <c r="F18" s="86">
        <v>0.2</v>
      </c>
      <c r="G18" s="86" t="s">
        <v>15</v>
      </c>
      <c r="H18" s="86">
        <v>317</v>
      </c>
      <c r="I18" s="8" t="s">
        <v>49</v>
      </c>
      <c r="J18" s="86" t="s">
        <v>565</v>
      </c>
      <c r="K18" s="11"/>
      <c r="L18" s="83"/>
      <c r="M18" s="76" t="s">
        <v>566</v>
      </c>
      <c r="N18" s="5" t="s">
        <v>51</v>
      </c>
      <c r="O18" s="14" t="s">
        <v>52</v>
      </c>
      <c r="P18" s="14">
        <v>3</v>
      </c>
      <c r="Q18" s="14"/>
    </row>
    <row r="19" spans="1:17">
      <c r="A19" s="10" t="s">
        <v>602</v>
      </c>
      <c r="B19" s="76" t="s">
        <v>200</v>
      </c>
      <c r="C19" s="11" t="s">
        <v>46</v>
      </c>
      <c r="D19" s="8"/>
      <c r="E19" s="8"/>
      <c r="F19" s="76">
        <v>60</v>
      </c>
      <c r="G19" s="11" t="s">
        <v>15</v>
      </c>
      <c r="H19" s="76">
        <v>318</v>
      </c>
      <c r="I19" s="8" t="s">
        <v>569</v>
      </c>
      <c r="J19" s="11"/>
      <c r="K19" s="11"/>
      <c r="L19" s="83"/>
      <c r="M19" s="5" t="s">
        <v>566</v>
      </c>
      <c r="N19" s="5" t="s">
        <v>71</v>
      </c>
      <c r="O19" s="14" t="s">
        <v>52</v>
      </c>
      <c r="P19" s="14"/>
      <c r="Q19" s="14"/>
    </row>
    <row r="20" spans="1:17">
      <c r="A20" s="10" t="s">
        <v>603</v>
      </c>
      <c r="B20" s="5" t="s">
        <v>200</v>
      </c>
      <c r="C20" s="8" t="s">
        <v>46</v>
      </c>
      <c r="D20" s="8"/>
      <c r="E20" s="8"/>
      <c r="F20" s="5">
        <v>-32</v>
      </c>
      <c r="G20" s="8" t="s">
        <v>15</v>
      </c>
      <c r="H20" s="5">
        <v>318</v>
      </c>
      <c r="I20" s="8" t="s">
        <v>569</v>
      </c>
      <c r="J20" s="8"/>
      <c r="K20" s="8"/>
      <c r="L20" s="4"/>
      <c r="M20" s="5" t="s">
        <v>566</v>
      </c>
      <c r="N20" s="5" t="s">
        <v>71</v>
      </c>
      <c r="O20" s="14" t="s">
        <v>52</v>
      </c>
      <c r="P20" s="14"/>
      <c r="Q20" s="14"/>
    </row>
    <row r="21" spans="1:17">
      <c r="A21" s="10" t="s">
        <v>604</v>
      </c>
      <c r="B21" s="8" t="s">
        <v>605</v>
      </c>
      <c r="C21" s="8" t="s">
        <v>46</v>
      </c>
      <c r="D21" s="8"/>
      <c r="E21" s="8"/>
      <c r="F21" s="8">
        <v>12.5</v>
      </c>
      <c r="G21" s="8" t="s">
        <v>15</v>
      </c>
      <c r="H21" s="8">
        <v>318</v>
      </c>
      <c r="I21" s="8" t="s">
        <v>49</v>
      </c>
      <c r="J21" s="8" t="s">
        <v>606</v>
      </c>
      <c r="K21" s="8"/>
      <c r="L21" s="4"/>
      <c r="M21" s="5" t="s">
        <v>566</v>
      </c>
      <c r="N21" s="5" t="s">
        <v>71</v>
      </c>
      <c r="O21" s="14" t="s">
        <v>52</v>
      </c>
      <c r="P21" s="14">
        <v>1</v>
      </c>
      <c r="Q21" s="14"/>
    </row>
    <row r="22" spans="1:17">
      <c r="A22" s="10" t="s">
        <v>607</v>
      </c>
      <c r="B22" s="8" t="s">
        <v>568</v>
      </c>
      <c r="C22" s="8" t="s">
        <v>46</v>
      </c>
      <c r="D22" s="8"/>
      <c r="E22" s="8"/>
      <c r="F22" s="8">
        <v>90</v>
      </c>
      <c r="G22" s="8" t="s">
        <v>15</v>
      </c>
      <c r="H22" s="8">
        <v>315</v>
      </c>
      <c r="I22" s="8" t="s">
        <v>569</v>
      </c>
      <c r="J22" s="8" t="s">
        <v>608</v>
      </c>
      <c r="K22" s="8"/>
      <c r="L22" s="13"/>
      <c r="M22" s="5" t="s">
        <v>566</v>
      </c>
      <c r="N22" s="5" t="s">
        <v>71</v>
      </c>
      <c r="O22" s="14" t="s">
        <v>52</v>
      </c>
      <c r="P22" s="14"/>
      <c r="Q22" s="14"/>
    </row>
    <row r="23" spans="1:17" ht="36">
      <c r="A23" s="10" t="s">
        <v>609</v>
      </c>
      <c r="B23" s="8" t="s">
        <v>610</v>
      </c>
      <c r="C23" s="8" t="s">
        <v>46</v>
      </c>
      <c r="D23" s="8"/>
      <c r="E23" s="8"/>
      <c r="F23" s="8" t="s">
        <v>611</v>
      </c>
      <c r="G23" s="8" t="s">
        <v>612</v>
      </c>
      <c r="H23" s="8">
        <v>44</v>
      </c>
      <c r="I23" s="8" t="s">
        <v>569</v>
      </c>
      <c r="J23" s="8" t="s">
        <v>613</v>
      </c>
      <c r="K23" s="8"/>
      <c r="L23" s="13"/>
      <c r="M23" s="5" t="s">
        <v>566</v>
      </c>
      <c r="N23" s="5" t="s">
        <v>57</v>
      </c>
      <c r="O23" s="14" t="s">
        <v>52</v>
      </c>
      <c r="P23" s="14"/>
      <c r="Q23" s="14"/>
    </row>
    <row r="24" spans="1:17" ht="24">
      <c r="A24" s="48" t="s">
        <v>614</v>
      </c>
      <c r="B24" s="8" t="s">
        <v>615</v>
      </c>
      <c r="C24" s="8" t="s">
        <v>46</v>
      </c>
      <c r="D24" s="8"/>
      <c r="E24" s="8"/>
      <c r="F24" s="8">
        <v>3.6764700000000001</v>
      </c>
      <c r="G24" s="8" t="s">
        <v>616</v>
      </c>
      <c r="H24" s="8"/>
      <c r="I24" s="8"/>
      <c r="J24" s="8"/>
      <c r="K24" s="8" t="s">
        <v>617</v>
      </c>
      <c r="L24" s="13"/>
      <c r="M24" s="5" t="s">
        <v>566</v>
      </c>
      <c r="N24" s="5"/>
      <c r="O24" s="14" t="s">
        <v>52</v>
      </c>
      <c r="P24" s="14">
        <v>1</v>
      </c>
      <c r="Q24" s="14"/>
    </row>
    <row r="25" spans="1:17">
      <c r="A25" s="10" t="s">
        <v>618</v>
      </c>
      <c r="B25" s="8" t="s">
        <v>200</v>
      </c>
      <c r="C25" s="8" t="s">
        <v>46</v>
      </c>
      <c r="D25" s="8"/>
      <c r="E25" s="8"/>
      <c r="F25" s="8">
        <v>10</v>
      </c>
      <c r="G25" s="8" t="s">
        <v>15</v>
      </c>
      <c r="H25" s="8">
        <v>318</v>
      </c>
      <c r="I25" s="8" t="s">
        <v>569</v>
      </c>
      <c r="J25" s="8"/>
      <c r="K25" s="8"/>
      <c r="L25" s="4"/>
      <c r="M25" s="5" t="s">
        <v>566</v>
      </c>
      <c r="N25" s="5" t="s">
        <v>71</v>
      </c>
      <c r="O25" s="14" t="s">
        <v>52</v>
      </c>
      <c r="P25" s="14"/>
      <c r="Q25" s="14"/>
    </row>
    <row r="26" spans="1:17">
      <c r="A26" s="10" t="s">
        <v>619</v>
      </c>
      <c r="B26" s="8" t="s">
        <v>200</v>
      </c>
      <c r="C26" s="8" t="s">
        <v>46</v>
      </c>
      <c r="D26" s="8"/>
      <c r="E26" s="8"/>
      <c r="F26" s="8">
        <v>10</v>
      </c>
      <c r="G26" s="8" t="s">
        <v>15</v>
      </c>
      <c r="H26" s="8" t="s">
        <v>620</v>
      </c>
      <c r="I26" s="8" t="s">
        <v>569</v>
      </c>
      <c r="J26" s="8"/>
      <c r="K26" s="8"/>
      <c r="L26" s="4"/>
      <c r="M26" s="5" t="s">
        <v>566</v>
      </c>
      <c r="N26" s="5" t="s">
        <v>71</v>
      </c>
      <c r="O26" s="14" t="s">
        <v>52</v>
      </c>
      <c r="P26" s="14"/>
      <c r="Q26" s="14"/>
    </row>
    <row r="27" spans="1:17">
      <c r="A27" s="10" t="s">
        <v>621</v>
      </c>
      <c r="B27" s="5" t="s">
        <v>200</v>
      </c>
      <c r="C27" s="8" t="s">
        <v>46</v>
      </c>
      <c r="D27" s="8"/>
      <c r="E27" s="8"/>
      <c r="F27" s="5">
        <v>13</v>
      </c>
      <c r="G27" s="8" t="s">
        <v>15</v>
      </c>
      <c r="H27" s="5">
        <v>340</v>
      </c>
      <c r="I27" s="8" t="s">
        <v>569</v>
      </c>
      <c r="J27" s="8"/>
      <c r="K27" s="8"/>
      <c r="L27" s="4"/>
      <c r="M27" s="5" t="s">
        <v>566</v>
      </c>
      <c r="N27" s="5" t="s">
        <v>71</v>
      </c>
      <c r="O27" s="14" t="s">
        <v>52</v>
      </c>
      <c r="P27" s="14"/>
      <c r="Q27" s="14"/>
    </row>
    <row r="28" spans="1:17" ht="12" customHeight="1">
      <c r="A28" s="10" t="s">
        <v>622</v>
      </c>
      <c r="B28" s="5" t="s">
        <v>200</v>
      </c>
      <c r="C28" s="8" t="s">
        <v>46</v>
      </c>
      <c r="D28" s="8"/>
      <c r="E28" s="8"/>
      <c r="F28" s="5">
        <v>-32</v>
      </c>
      <c r="G28" s="8" t="s">
        <v>15</v>
      </c>
      <c r="H28" s="5">
        <v>340</v>
      </c>
      <c r="I28" s="8" t="s">
        <v>569</v>
      </c>
      <c r="J28" s="8"/>
      <c r="K28" s="8"/>
      <c r="L28" s="4"/>
      <c r="M28" s="5" t="s">
        <v>566</v>
      </c>
      <c r="N28" s="5" t="s">
        <v>71</v>
      </c>
      <c r="O28" s="14" t="s">
        <v>52</v>
      </c>
      <c r="P28" s="14"/>
      <c r="Q28" s="14"/>
    </row>
    <row r="29" spans="1:17">
      <c r="A29" s="10" t="s">
        <v>623</v>
      </c>
      <c r="B29" s="8" t="s">
        <v>605</v>
      </c>
      <c r="C29" s="8" t="s">
        <v>46</v>
      </c>
      <c r="D29" s="8"/>
      <c r="E29" s="8"/>
      <c r="F29" s="8">
        <v>6.2</v>
      </c>
      <c r="G29" s="8" t="s">
        <v>15</v>
      </c>
      <c r="H29" s="8" t="s">
        <v>620</v>
      </c>
      <c r="I29" s="8" t="s">
        <v>569</v>
      </c>
      <c r="J29" s="8" t="s">
        <v>606</v>
      </c>
      <c r="K29" s="8"/>
      <c r="L29" s="4"/>
      <c r="M29" s="5" t="s">
        <v>566</v>
      </c>
      <c r="N29" s="5" t="s">
        <v>71</v>
      </c>
      <c r="O29" s="14" t="s">
        <v>52</v>
      </c>
      <c r="P29" s="14">
        <v>1</v>
      </c>
      <c r="Q29" s="14"/>
    </row>
    <row r="30" spans="1:17">
      <c r="A30" s="10" t="s">
        <v>624</v>
      </c>
      <c r="B30" s="8" t="s">
        <v>14</v>
      </c>
      <c r="C30" s="8" t="s">
        <v>46</v>
      </c>
      <c r="D30" s="8"/>
      <c r="E30" s="8"/>
      <c r="F30" s="8">
        <v>62</v>
      </c>
      <c r="G30" s="8" t="s">
        <v>15</v>
      </c>
      <c r="H30" s="8">
        <v>339</v>
      </c>
      <c r="I30" s="8" t="s">
        <v>569</v>
      </c>
      <c r="J30" s="8" t="s">
        <v>625</v>
      </c>
      <c r="K30" s="8"/>
      <c r="L30" s="4"/>
      <c r="M30" s="5" t="s">
        <v>566</v>
      </c>
      <c r="N30" s="5" t="s">
        <v>71</v>
      </c>
      <c r="O30" s="14" t="s">
        <v>52</v>
      </c>
      <c r="P30" s="14"/>
      <c r="Q30" s="14"/>
    </row>
    <row r="31" spans="1:17">
      <c r="A31" s="48" t="s">
        <v>626</v>
      </c>
      <c r="B31" s="8" t="s">
        <v>627</v>
      </c>
      <c r="C31" s="8" t="s">
        <v>46</v>
      </c>
      <c r="D31" s="8"/>
      <c r="E31" s="8"/>
      <c r="F31" s="8">
        <v>2.5</v>
      </c>
      <c r="G31" s="8" t="s">
        <v>270</v>
      </c>
      <c r="H31" s="8"/>
      <c r="I31" s="8"/>
      <c r="J31" s="8"/>
      <c r="K31" s="8" t="s">
        <v>628</v>
      </c>
      <c r="L31" s="4"/>
      <c r="M31" s="5" t="s">
        <v>566</v>
      </c>
      <c r="N31" s="5"/>
      <c r="O31" s="14" t="s">
        <v>52</v>
      </c>
      <c r="P31" s="14">
        <v>1</v>
      </c>
      <c r="Q31" s="14"/>
    </row>
    <row r="32" spans="1:17" ht="24">
      <c r="A32" s="48" t="s">
        <v>629</v>
      </c>
      <c r="B32" s="8" t="s">
        <v>615</v>
      </c>
      <c r="C32" s="8" t="s">
        <v>46</v>
      </c>
      <c r="D32" s="8"/>
      <c r="E32" s="8"/>
      <c r="F32" s="8">
        <v>2.9174699999999998</v>
      </c>
      <c r="G32" s="8" t="s">
        <v>616</v>
      </c>
      <c r="H32" s="8"/>
      <c r="I32" s="8"/>
      <c r="J32" s="8"/>
      <c r="K32" s="8" t="s">
        <v>617</v>
      </c>
      <c r="L32" s="4"/>
      <c r="M32" s="5" t="s">
        <v>566</v>
      </c>
      <c r="N32" s="5"/>
      <c r="O32" s="14" t="s">
        <v>52</v>
      </c>
      <c r="P32" s="14">
        <v>3</v>
      </c>
      <c r="Q32" s="14"/>
    </row>
    <row r="33" spans="1:17">
      <c r="A33" s="48" t="s">
        <v>630</v>
      </c>
      <c r="B33" s="5" t="s">
        <v>200</v>
      </c>
      <c r="C33" s="8" t="s">
        <v>46</v>
      </c>
      <c r="D33" s="8"/>
      <c r="E33" s="8"/>
      <c r="F33" s="5">
        <v>6</v>
      </c>
      <c r="G33" s="8" t="s">
        <v>15</v>
      </c>
      <c r="H33" s="5">
        <v>340</v>
      </c>
      <c r="I33" s="8"/>
      <c r="J33" s="8"/>
      <c r="K33" s="8"/>
      <c r="L33" s="4"/>
      <c r="M33" s="5" t="s">
        <v>566</v>
      </c>
      <c r="N33" s="5"/>
      <c r="O33" s="14" t="s">
        <v>52</v>
      </c>
      <c r="P33" s="14"/>
      <c r="Q33" s="14"/>
    </row>
    <row r="34" spans="1:17">
      <c r="A34" s="10" t="s">
        <v>631</v>
      </c>
      <c r="B34" s="5" t="s">
        <v>200</v>
      </c>
      <c r="C34" s="8" t="s">
        <v>46</v>
      </c>
      <c r="D34" s="8"/>
      <c r="E34" s="8"/>
      <c r="F34" s="5">
        <v>-15</v>
      </c>
      <c r="G34" s="8" t="s">
        <v>15</v>
      </c>
      <c r="H34" s="5">
        <v>340</v>
      </c>
      <c r="I34" s="8" t="s">
        <v>49</v>
      </c>
      <c r="J34" s="8"/>
      <c r="K34" s="8"/>
      <c r="L34" s="4"/>
      <c r="M34" s="5" t="s">
        <v>566</v>
      </c>
      <c r="N34" s="5" t="s">
        <v>71</v>
      </c>
      <c r="O34" s="14" t="s">
        <v>52</v>
      </c>
      <c r="P34" s="14"/>
      <c r="Q34" s="14"/>
    </row>
    <row r="35" spans="1:17">
      <c r="A35" s="10" t="s">
        <v>632</v>
      </c>
      <c r="B35" s="5" t="s">
        <v>574</v>
      </c>
      <c r="C35" s="18" t="s">
        <v>46</v>
      </c>
      <c r="D35" s="8"/>
      <c r="E35" s="8"/>
      <c r="F35" s="18">
        <v>4.1700000000000001E-2</v>
      </c>
      <c r="G35" s="18" t="s">
        <v>15</v>
      </c>
      <c r="H35" s="18">
        <v>321</v>
      </c>
      <c r="I35" s="8" t="s">
        <v>569</v>
      </c>
      <c r="J35" s="18" t="s">
        <v>596</v>
      </c>
      <c r="K35" s="18"/>
      <c r="L35" s="62"/>
      <c r="M35" s="5" t="s">
        <v>566</v>
      </c>
      <c r="N35" s="5" t="s">
        <v>140</v>
      </c>
      <c r="O35" s="14" t="s">
        <v>52</v>
      </c>
      <c r="P35" s="14">
        <v>4</v>
      </c>
      <c r="Q35" s="14"/>
    </row>
    <row r="36" spans="1:17">
      <c r="A36" s="10" t="s">
        <v>633</v>
      </c>
      <c r="B36" s="5" t="s">
        <v>200</v>
      </c>
      <c r="C36" s="8" t="s">
        <v>46</v>
      </c>
      <c r="D36" s="8"/>
      <c r="E36" s="8"/>
      <c r="F36" s="5">
        <v>18</v>
      </c>
      <c r="G36" s="8" t="s">
        <v>15</v>
      </c>
      <c r="H36" s="5">
        <v>318</v>
      </c>
      <c r="I36" s="8" t="s">
        <v>569</v>
      </c>
      <c r="J36" s="8"/>
      <c r="K36" s="8"/>
      <c r="L36" s="4"/>
      <c r="M36" s="5" t="s">
        <v>566</v>
      </c>
      <c r="N36" s="5" t="s">
        <v>71</v>
      </c>
      <c r="O36" s="14" t="s">
        <v>52</v>
      </c>
      <c r="P36" s="14"/>
      <c r="Q36" s="14"/>
    </row>
    <row r="37" spans="1:17">
      <c r="A37" s="10" t="s">
        <v>634</v>
      </c>
      <c r="B37" s="72" t="s">
        <v>200</v>
      </c>
      <c r="C37" s="70" t="s">
        <v>46</v>
      </c>
      <c r="D37" s="8"/>
      <c r="E37" s="8"/>
      <c r="F37" s="72">
        <v>0</v>
      </c>
      <c r="G37" s="70" t="s">
        <v>15</v>
      </c>
      <c r="H37" s="72">
        <v>318</v>
      </c>
      <c r="I37" s="8" t="s">
        <v>569</v>
      </c>
      <c r="J37" s="70"/>
      <c r="K37" s="8"/>
      <c r="L37" s="4"/>
      <c r="M37" s="5" t="s">
        <v>566</v>
      </c>
      <c r="N37" s="5" t="s">
        <v>71</v>
      </c>
      <c r="O37" s="14" t="s">
        <v>52</v>
      </c>
      <c r="P37" s="14">
        <v>1</v>
      </c>
      <c r="Q37" s="14"/>
    </row>
    <row r="38" spans="1:17">
      <c r="A38" s="85" t="s">
        <v>635</v>
      </c>
      <c r="B38" s="72" t="s">
        <v>574</v>
      </c>
      <c r="C38" s="18" t="s">
        <v>46</v>
      </c>
      <c r="D38" s="8"/>
      <c r="E38" s="8"/>
      <c r="F38" s="18">
        <v>7.6300000000000007E-2</v>
      </c>
      <c r="G38" s="18" t="s">
        <v>15</v>
      </c>
      <c r="H38" s="18">
        <v>321</v>
      </c>
      <c r="I38" s="8" t="s">
        <v>569</v>
      </c>
      <c r="J38" s="18" t="s">
        <v>600</v>
      </c>
      <c r="K38" s="18"/>
      <c r="L38" s="62"/>
      <c r="M38" s="5" t="s">
        <v>566</v>
      </c>
      <c r="N38" s="5" t="s">
        <v>140</v>
      </c>
      <c r="O38" s="14" t="s">
        <v>52</v>
      </c>
      <c r="P38" s="14">
        <v>4</v>
      </c>
      <c r="Q38" s="14"/>
    </row>
    <row r="39" spans="1:17">
      <c r="A39" s="85" t="s">
        <v>636</v>
      </c>
      <c r="B39" s="18"/>
      <c r="C39" s="18" t="s">
        <v>46</v>
      </c>
      <c r="D39" s="8"/>
      <c r="E39" s="8"/>
      <c r="F39" s="18">
        <v>0.2</v>
      </c>
      <c r="G39" s="18" t="s">
        <v>15</v>
      </c>
      <c r="H39" s="18">
        <v>317</v>
      </c>
      <c r="I39" s="8" t="s">
        <v>49</v>
      </c>
      <c r="J39" s="18" t="s">
        <v>565</v>
      </c>
      <c r="K39" s="87"/>
      <c r="L39" s="4"/>
      <c r="M39" s="5" t="s">
        <v>566</v>
      </c>
      <c r="N39" s="5" t="s">
        <v>51</v>
      </c>
      <c r="O39" s="14" t="s">
        <v>52</v>
      </c>
      <c r="P39" s="14">
        <v>3</v>
      </c>
      <c r="Q39" s="14"/>
    </row>
    <row r="40" spans="1:17">
      <c r="A40" s="10" t="s">
        <v>637</v>
      </c>
      <c r="B40" s="76" t="s">
        <v>200</v>
      </c>
      <c r="C40" s="11" t="s">
        <v>46</v>
      </c>
      <c r="D40" s="8"/>
      <c r="E40" s="8"/>
      <c r="F40" s="76">
        <v>60</v>
      </c>
      <c r="G40" s="11" t="s">
        <v>15</v>
      </c>
      <c r="H40" s="76">
        <v>318</v>
      </c>
      <c r="I40" s="8" t="s">
        <v>569</v>
      </c>
      <c r="J40" s="11"/>
      <c r="K40" s="8"/>
      <c r="L40" s="4"/>
      <c r="M40" s="5" t="s">
        <v>566</v>
      </c>
      <c r="N40" s="5" t="s">
        <v>71</v>
      </c>
      <c r="O40" s="14" t="s">
        <v>52</v>
      </c>
      <c r="P40" s="14"/>
      <c r="Q40" s="14"/>
    </row>
    <row r="41" spans="1:17">
      <c r="A41" s="10" t="s">
        <v>638</v>
      </c>
      <c r="B41" s="5" t="s">
        <v>200</v>
      </c>
      <c r="C41" s="8" t="s">
        <v>46</v>
      </c>
      <c r="D41" s="8"/>
      <c r="E41" s="8"/>
      <c r="F41" s="5">
        <v>-32</v>
      </c>
      <c r="G41" s="8" t="s">
        <v>15</v>
      </c>
      <c r="H41" s="5">
        <v>318</v>
      </c>
      <c r="I41" s="8" t="s">
        <v>569</v>
      </c>
      <c r="J41" s="8"/>
      <c r="K41" s="8"/>
      <c r="L41" s="4"/>
      <c r="M41" s="5" t="s">
        <v>566</v>
      </c>
      <c r="N41" s="5" t="s">
        <v>71</v>
      </c>
      <c r="O41" s="14" t="s">
        <v>52</v>
      </c>
      <c r="P41" s="14"/>
      <c r="Q41" s="14"/>
    </row>
    <row r="42" spans="1:17">
      <c r="A42" s="10" t="s">
        <v>639</v>
      </c>
      <c r="B42" s="8" t="s">
        <v>605</v>
      </c>
      <c r="C42" s="8" t="s">
        <v>46</v>
      </c>
      <c r="D42" s="8"/>
      <c r="E42" s="8"/>
      <c r="F42" s="8">
        <v>6.25</v>
      </c>
      <c r="G42" s="8" t="s">
        <v>15</v>
      </c>
      <c r="H42" s="8">
        <v>318</v>
      </c>
      <c r="I42" s="8" t="s">
        <v>49</v>
      </c>
      <c r="J42" s="8" t="s">
        <v>606</v>
      </c>
      <c r="K42" s="8"/>
      <c r="L42" s="4"/>
      <c r="M42" s="5" t="s">
        <v>566</v>
      </c>
      <c r="N42" s="5" t="s">
        <v>71</v>
      </c>
      <c r="O42" s="14" t="s">
        <v>52</v>
      </c>
      <c r="P42" s="14">
        <v>1</v>
      </c>
      <c r="Q42" s="14"/>
    </row>
    <row r="43" spans="1:17">
      <c r="A43" s="10" t="s">
        <v>640</v>
      </c>
      <c r="B43" s="8" t="s">
        <v>568</v>
      </c>
      <c r="C43" s="8" t="s">
        <v>46</v>
      </c>
      <c r="D43" s="8"/>
      <c r="E43" s="8"/>
      <c r="F43" s="8">
        <v>90</v>
      </c>
      <c r="G43" s="8" t="s">
        <v>15</v>
      </c>
      <c r="H43" s="8">
        <v>315</v>
      </c>
      <c r="I43" s="8" t="s">
        <v>569</v>
      </c>
      <c r="J43" s="8" t="s">
        <v>608</v>
      </c>
      <c r="K43" s="8"/>
      <c r="L43" s="13"/>
      <c r="M43" s="5" t="s">
        <v>566</v>
      </c>
      <c r="N43" s="5" t="s">
        <v>71</v>
      </c>
      <c r="O43" s="14" t="s">
        <v>52</v>
      </c>
      <c r="P43" s="14"/>
      <c r="Q43" s="14"/>
    </row>
    <row r="44" spans="1:17" ht="36">
      <c r="A44" s="10" t="s">
        <v>641</v>
      </c>
      <c r="B44" s="8" t="s">
        <v>610</v>
      </c>
      <c r="C44" s="8" t="s">
        <v>46</v>
      </c>
      <c r="D44" s="8"/>
      <c r="E44" s="8"/>
      <c r="F44" s="8" t="s">
        <v>611</v>
      </c>
      <c r="G44" s="8" t="s">
        <v>612</v>
      </c>
      <c r="H44" s="8">
        <v>44</v>
      </c>
      <c r="I44" s="8" t="s">
        <v>569</v>
      </c>
      <c r="J44" s="8" t="s">
        <v>613</v>
      </c>
      <c r="K44" s="8"/>
      <c r="L44" s="13"/>
      <c r="M44" s="5" t="s">
        <v>566</v>
      </c>
      <c r="N44" s="5" t="s">
        <v>57</v>
      </c>
      <c r="O44" s="14" t="s">
        <v>52</v>
      </c>
      <c r="P44" s="14"/>
      <c r="Q44" s="14"/>
    </row>
    <row r="45" spans="1:17" ht="24">
      <c r="A45" s="48" t="s">
        <v>642</v>
      </c>
      <c r="B45" s="8" t="s">
        <v>615</v>
      </c>
      <c r="C45" s="8" t="s">
        <v>46</v>
      </c>
      <c r="D45" s="8"/>
      <c r="E45" s="8"/>
      <c r="F45" s="8">
        <v>3.6764700000000001</v>
      </c>
      <c r="G45" s="8" t="s">
        <v>616</v>
      </c>
      <c r="H45" s="8"/>
      <c r="I45" s="8"/>
      <c r="J45" s="8"/>
      <c r="K45" s="8" t="s">
        <v>617</v>
      </c>
      <c r="L45" s="13"/>
      <c r="M45" s="5" t="s">
        <v>566</v>
      </c>
      <c r="N45" s="5"/>
      <c r="O45" s="14" t="s">
        <v>52</v>
      </c>
      <c r="P45" s="14">
        <v>1</v>
      </c>
      <c r="Q45" s="14"/>
    </row>
    <row r="46" spans="1:17">
      <c r="A46" s="10" t="s">
        <v>643</v>
      </c>
      <c r="B46" s="8" t="s">
        <v>200</v>
      </c>
      <c r="C46" s="8" t="s">
        <v>46</v>
      </c>
      <c r="D46" s="8"/>
      <c r="E46" s="8"/>
      <c r="F46" s="8">
        <v>10</v>
      </c>
      <c r="G46" s="8" t="s">
        <v>15</v>
      </c>
      <c r="H46" s="8">
        <v>318</v>
      </c>
      <c r="I46" s="8" t="s">
        <v>569</v>
      </c>
      <c r="J46" s="8"/>
      <c r="K46" s="8"/>
      <c r="L46" s="4"/>
      <c r="M46" s="5" t="s">
        <v>566</v>
      </c>
      <c r="N46" s="5" t="s">
        <v>71</v>
      </c>
      <c r="O46" s="14" t="s">
        <v>52</v>
      </c>
      <c r="P46" s="14"/>
      <c r="Q46" s="14"/>
    </row>
    <row r="47" spans="1:17">
      <c r="A47" s="10" t="s">
        <v>644</v>
      </c>
      <c r="B47" s="8" t="s">
        <v>200</v>
      </c>
      <c r="C47" s="8" t="s">
        <v>46</v>
      </c>
      <c r="D47" s="8"/>
      <c r="E47" s="8"/>
      <c r="F47" s="8">
        <v>10</v>
      </c>
      <c r="G47" s="8" t="s">
        <v>15</v>
      </c>
      <c r="H47" s="8" t="s">
        <v>620</v>
      </c>
      <c r="I47" s="8" t="s">
        <v>569</v>
      </c>
      <c r="J47" s="8"/>
      <c r="K47" s="8"/>
      <c r="L47" s="4"/>
      <c r="M47" s="5" t="s">
        <v>566</v>
      </c>
      <c r="N47" s="5" t="s">
        <v>71</v>
      </c>
      <c r="O47" s="14" t="s">
        <v>52</v>
      </c>
      <c r="P47" s="14"/>
      <c r="Q47" s="14"/>
    </row>
    <row r="48" spans="1:17">
      <c r="A48" s="10" t="s">
        <v>645</v>
      </c>
      <c r="B48" s="5" t="s">
        <v>200</v>
      </c>
      <c r="C48" s="8" t="s">
        <v>46</v>
      </c>
      <c r="D48" s="8"/>
      <c r="E48" s="8"/>
      <c r="F48" s="5">
        <v>13</v>
      </c>
      <c r="G48" s="8" t="s">
        <v>15</v>
      </c>
      <c r="H48" s="5">
        <v>340</v>
      </c>
      <c r="I48" s="8" t="s">
        <v>569</v>
      </c>
      <c r="J48" s="8"/>
      <c r="K48" s="8"/>
      <c r="L48" s="4"/>
      <c r="M48" s="5" t="s">
        <v>566</v>
      </c>
      <c r="N48" s="5" t="s">
        <v>71</v>
      </c>
      <c r="O48" s="14" t="s">
        <v>52</v>
      </c>
      <c r="P48" s="14"/>
      <c r="Q48" s="14"/>
    </row>
    <row r="49" spans="1:17" ht="12" customHeight="1">
      <c r="A49" s="10" t="s">
        <v>646</v>
      </c>
      <c r="B49" s="5" t="s">
        <v>200</v>
      </c>
      <c r="C49" s="8" t="s">
        <v>46</v>
      </c>
      <c r="D49" s="8"/>
      <c r="E49" s="8"/>
      <c r="F49" s="5">
        <v>-32</v>
      </c>
      <c r="G49" s="8" t="s">
        <v>15</v>
      </c>
      <c r="H49" s="5">
        <v>340</v>
      </c>
      <c r="I49" s="8" t="s">
        <v>569</v>
      </c>
      <c r="J49" s="8"/>
      <c r="K49" s="8"/>
      <c r="L49" s="4"/>
      <c r="M49" s="5" t="s">
        <v>566</v>
      </c>
      <c r="N49" s="5" t="s">
        <v>71</v>
      </c>
      <c r="O49" s="14" t="s">
        <v>52</v>
      </c>
      <c r="P49" s="14"/>
      <c r="Q49" s="14"/>
    </row>
    <row r="50" spans="1:17">
      <c r="A50" s="10" t="s">
        <v>647</v>
      </c>
      <c r="B50" s="8" t="s">
        <v>605</v>
      </c>
      <c r="C50" s="8" t="s">
        <v>46</v>
      </c>
      <c r="D50" s="8"/>
      <c r="E50" s="8"/>
      <c r="F50" s="8">
        <v>6.2</v>
      </c>
      <c r="G50" s="8" t="s">
        <v>15</v>
      </c>
      <c r="H50" s="8" t="s">
        <v>620</v>
      </c>
      <c r="I50" s="8" t="s">
        <v>569</v>
      </c>
      <c r="J50" s="8" t="s">
        <v>606</v>
      </c>
      <c r="K50" s="8"/>
      <c r="L50" s="4"/>
      <c r="M50" s="5" t="s">
        <v>566</v>
      </c>
      <c r="N50" s="5" t="s">
        <v>71</v>
      </c>
      <c r="O50" s="14" t="s">
        <v>52</v>
      </c>
      <c r="P50" s="14">
        <v>1</v>
      </c>
      <c r="Q50" s="14"/>
    </row>
    <row r="51" spans="1:17">
      <c r="A51" s="10" t="s">
        <v>648</v>
      </c>
      <c r="B51" s="8" t="s">
        <v>14</v>
      </c>
      <c r="C51" s="8" t="s">
        <v>46</v>
      </c>
      <c r="D51" s="8"/>
      <c r="E51" s="8"/>
      <c r="F51" s="8">
        <v>62</v>
      </c>
      <c r="G51" s="8" t="s">
        <v>15</v>
      </c>
      <c r="H51" s="8">
        <v>339</v>
      </c>
      <c r="I51" s="8" t="s">
        <v>569</v>
      </c>
      <c r="J51" s="8" t="s">
        <v>625</v>
      </c>
      <c r="K51" s="8"/>
      <c r="L51" s="4"/>
      <c r="M51" s="5" t="s">
        <v>566</v>
      </c>
      <c r="N51" s="5" t="s">
        <v>71</v>
      </c>
      <c r="O51" s="14" t="s">
        <v>52</v>
      </c>
      <c r="P51" s="14"/>
      <c r="Q51" s="14"/>
    </row>
    <row r="52" spans="1:17">
      <c r="A52" s="48" t="s">
        <v>649</v>
      </c>
      <c r="B52" s="8" t="s">
        <v>627</v>
      </c>
      <c r="C52" s="8" t="s">
        <v>46</v>
      </c>
      <c r="D52" s="8"/>
      <c r="E52" s="8"/>
      <c r="F52" s="8">
        <v>2.5</v>
      </c>
      <c r="G52" s="8" t="s">
        <v>270</v>
      </c>
      <c r="H52" s="8"/>
      <c r="I52" s="8"/>
      <c r="J52" s="8"/>
      <c r="K52" s="8"/>
      <c r="L52" s="4"/>
      <c r="M52" s="5" t="s">
        <v>566</v>
      </c>
      <c r="N52" s="5"/>
      <c r="O52" s="14" t="s">
        <v>52</v>
      </c>
      <c r="P52" s="14">
        <v>1</v>
      </c>
      <c r="Q52" s="14"/>
    </row>
    <row r="53" spans="1:17" ht="24">
      <c r="A53" s="48" t="s">
        <v>650</v>
      </c>
      <c r="B53" s="8" t="s">
        <v>615</v>
      </c>
      <c r="C53" s="8" t="s">
        <v>46</v>
      </c>
      <c r="D53" s="8"/>
      <c r="E53" s="8"/>
      <c r="F53" s="8">
        <v>2.9174699999999998</v>
      </c>
      <c r="G53" s="8" t="s">
        <v>616</v>
      </c>
      <c r="H53" s="8"/>
      <c r="I53" s="8"/>
      <c r="J53" s="8"/>
      <c r="K53" s="8" t="s">
        <v>617</v>
      </c>
      <c r="L53" s="4"/>
      <c r="M53" s="5" t="s">
        <v>566</v>
      </c>
      <c r="N53" s="5"/>
      <c r="O53" s="14" t="s">
        <v>52</v>
      </c>
      <c r="P53" s="14">
        <v>3</v>
      </c>
      <c r="Q53" s="14"/>
    </row>
    <row r="54" spans="1:17">
      <c r="A54" s="48" t="s">
        <v>651</v>
      </c>
      <c r="B54" s="5" t="s">
        <v>200</v>
      </c>
      <c r="C54" s="8" t="s">
        <v>46</v>
      </c>
      <c r="D54" s="8"/>
      <c r="E54" s="8"/>
      <c r="F54" s="5">
        <v>6</v>
      </c>
      <c r="G54" s="8" t="s">
        <v>15</v>
      </c>
      <c r="H54" s="5">
        <v>340</v>
      </c>
      <c r="I54" s="8"/>
      <c r="J54" s="8"/>
      <c r="K54" s="8"/>
      <c r="L54" s="4"/>
      <c r="M54" s="5" t="s">
        <v>566</v>
      </c>
      <c r="N54" s="5"/>
      <c r="O54" s="14" t="s">
        <v>52</v>
      </c>
      <c r="P54" s="14"/>
      <c r="Q54" s="14"/>
    </row>
    <row r="55" spans="1:17">
      <c r="A55" s="10" t="s">
        <v>652</v>
      </c>
      <c r="B55" s="5" t="s">
        <v>200</v>
      </c>
      <c r="C55" s="8" t="s">
        <v>46</v>
      </c>
      <c r="D55" s="8"/>
      <c r="E55" s="8"/>
      <c r="F55" s="5">
        <v>-15</v>
      </c>
      <c r="G55" s="8" t="s">
        <v>15</v>
      </c>
      <c r="H55" s="5">
        <v>340</v>
      </c>
      <c r="I55" s="8" t="s">
        <v>49</v>
      </c>
      <c r="J55" s="8"/>
      <c r="K55" s="8"/>
      <c r="L55" s="4"/>
      <c r="M55" s="5" t="s">
        <v>566</v>
      </c>
      <c r="N55" s="5" t="s">
        <v>71</v>
      </c>
      <c r="O55" s="14" t="s">
        <v>52</v>
      </c>
      <c r="P55" s="14"/>
      <c r="Q55" s="14"/>
    </row>
    <row r="56" spans="1:17" ht="24">
      <c r="A56" s="28" t="s">
        <v>353</v>
      </c>
      <c r="B56" s="9" t="s">
        <v>1</v>
      </c>
      <c r="C56" s="9" t="s">
        <v>31</v>
      </c>
      <c r="D56" s="9" t="s">
        <v>32</v>
      </c>
      <c r="E56" s="9" t="s">
        <v>33</v>
      </c>
      <c r="F56" s="9" t="s">
        <v>124</v>
      </c>
      <c r="G56" s="29" t="s">
        <v>125</v>
      </c>
      <c r="H56" s="29" t="s">
        <v>126</v>
      </c>
      <c r="I56" s="3" t="s">
        <v>36</v>
      </c>
      <c r="J56" s="3" t="s">
        <v>37</v>
      </c>
      <c r="K56" s="3" t="s">
        <v>38</v>
      </c>
      <c r="L56" s="29" t="s">
        <v>39</v>
      </c>
      <c r="M56" s="9" t="s">
        <v>40</v>
      </c>
      <c r="N56" s="9" t="s">
        <v>41</v>
      </c>
      <c r="O56" s="9" t="s">
        <v>42</v>
      </c>
      <c r="P56" s="9" t="s">
        <v>43</v>
      </c>
      <c r="Q56" s="9" t="s">
        <v>1194</v>
      </c>
    </row>
    <row r="57" spans="1:17">
      <c r="A57" s="10" t="s">
        <v>653</v>
      </c>
      <c r="B57" s="5" t="s">
        <v>17</v>
      </c>
      <c r="C57" s="8" t="s">
        <v>46</v>
      </c>
      <c r="D57" s="8"/>
      <c r="E57" s="8"/>
      <c r="F57" s="7">
        <f>Cardiovascular!F60</f>
        <v>55.096546665792182</v>
      </c>
      <c r="G57" s="17" t="s">
        <v>270</v>
      </c>
      <c r="H57" s="5"/>
      <c r="I57" s="5" t="s">
        <v>49</v>
      </c>
      <c r="J57" s="8"/>
      <c r="K57" s="4" t="s">
        <v>654</v>
      </c>
      <c r="L57" s="4"/>
      <c r="M57" s="5" t="s">
        <v>655</v>
      </c>
      <c r="N57" s="5" t="s">
        <v>71</v>
      </c>
      <c r="O57" s="14" t="s">
        <v>357</v>
      </c>
      <c r="P57" s="14">
        <v>1</v>
      </c>
      <c r="Q57" s="14"/>
    </row>
    <row r="58" spans="1:17" ht="24">
      <c r="A58" s="10" t="s">
        <v>656</v>
      </c>
      <c r="B58" s="5" t="s">
        <v>17</v>
      </c>
      <c r="C58" s="8" t="s">
        <v>46</v>
      </c>
      <c r="D58" s="8"/>
      <c r="E58" s="8"/>
      <c r="F58" s="7">
        <f>$F$57/2/3</f>
        <v>9.1827577776320304</v>
      </c>
      <c r="G58" s="17" t="s">
        <v>270</v>
      </c>
      <c r="H58" s="5"/>
      <c r="I58" s="5" t="s">
        <v>49</v>
      </c>
      <c r="J58" s="8" t="s">
        <v>1180</v>
      </c>
      <c r="K58" s="4"/>
      <c r="L58" s="4"/>
      <c r="M58" s="5" t="s">
        <v>655</v>
      </c>
      <c r="N58" s="5" t="s">
        <v>71</v>
      </c>
      <c r="O58" s="14" t="s">
        <v>357</v>
      </c>
      <c r="P58" s="14">
        <v>1</v>
      </c>
      <c r="Q58" s="14"/>
    </row>
    <row r="59" spans="1:17" ht="24">
      <c r="A59" s="10" t="s">
        <v>657</v>
      </c>
      <c r="B59" s="5" t="s">
        <v>17</v>
      </c>
      <c r="C59" s="8" t="s">
        <v>46</v>
      </c>
      <c r="D59" s="8"/>
      <c r="E59" s="8"/>
      <c r="F59" s="7">
        <f t="shared" ref="F59:F65" si="0">$F$57/2/3</f>
        <v>9.1827577776320304</v>
      </c>
      <c r="G59" s="17" t="s">
        <v>270</v>
      </c>
      <c r="H59" s="5"/>
      <c r="I59" s="5" t="s">
        <v>49</v>
      </c>
      <c r="J59" s="8" t="s">
        <v>1180</v>
      </c>
      <c r="K59" s="4"/>
      <c r="L59" s="4"/>
      <c r="M59" s="5" t="s">
        <v>655</v>
      </c>
      <c r="N59" s="5" t="s">
        <v>71</v>
      </c>
      <c r="O59" s="14" t="s">
        <v>357</v>
      </c>
      <c r="P59" s="14">
        <v>1</v>
      </c>
      <c r="Q59" s="14"/>
    </row>
    <row r="60" spans="1:17" ht="24">
      <c r="A60" s="10" t="s">
        <v>658</v>
      </c>
      <c r="B60" s="5" t="s">
        <v>17</v>
      </c>
      <c r="C60" s="8" t="s">
        <v>46</v>
      </c>
      <c r="D60" s="8"/>
      <c r="E60" s="8"/>
      <c r="F60" s="7">
        <f>$F$57/2/5</f>
        <v>5.5096546665792179</v>
      </c>
      <c r="G60" s="17" t="s">
        <v>270</v>
      </c>
      <c r="H60" s="5"/>
      <c r="I60" s="5" t="s">
        <v>49</v>
      </c>
      <c r="J60" s="8" t="s">
        <v>1181</v>
      </c>
      <c r="K60" s="4"/>
      <c r="L60" s="4"/>
      <c r="M60" s="5" t="s">
        <v>655</v>
      </c>
      <c r="N60" s="5" t="s">
        <v>71</v>
      </c>
      <c r="O60" s="14" t="s">
        <v>357</v>
      </c>
      <c r="P60" s="14">
        <v>1</v>
      </c>
      <c r="Q60" s="14"/>
    </row>
    <row r="61" spans="1:17" ht="24">
      <c r="A61" s="10" t="s">
        <v>659</v>
      </c>
      <c r="B61" s="5" t="s">
        <v>17</v>
      </c>
      <c r="C61" s="8" t="s">
        <v>46</v>
      </c>
      <c r="D61" s="8"/>
      <c r="E61" s="8"/>
      <c r="F61" s="7">
        <f t="shared" ref="F61:F64" si="1">$F$57/2/5</f>
        <v>5.5096546665792179</v>
      </c>
      <c r="G61" s="17" t="s">
        <v>270</v>
      </c>
      <c r="H61" s="5"/>
      <c r="I61" s="5" t="s">
        <v>49</v>
      </c>
      <c r="J61" s="8" t="s">
        <v>1181</v>
      </c>
      <c r="K61" s="4"/>
      <c r="L61" s="4"/>
      <c r="M61" s="5" t="s">
        <v>655</v>
      </c>
      <c r="N61" s="5" t="s">
        <v>51</v>
      </c>
      <c r="O61" s="14" t="s">
        <v>357</v>
      </c>
      <c r="P61" s="14">
        <v>1</v>
      </c>
      <c r="Q61" s="14"/>
    </row>
    <row r="62" spans="1:17" ht="24">
      <c r="A62" s="10" t="s">
        <v>660</v>
      </c>
      <c r="B62" s="5" t="s">
        <v>17</v>
      </c>
      <c r="C62" s="8" t="s">
        <v>46</v>
      </c>
      <c r="D62" s="8"/>
      <c r="E62" s="8"/>
      <c r="F62" s="7">
        <f t="shared" si="1"/>
        <v>5.5096546665792179</v>
      </c>
      <c r="G62" s="17" t="s">
        <v>270</v>
      </c>
      <c r="H62" s="5"/>
      <c r="I62" s="5" t="s">
        <v>49</v>
      </c>
      <c r="J62" s="8" t="s">
        <v>1181</v>
      </c>
      <c r="K62" s="4"/>
      <c r="L62" s="4"/>
      <c r="M62" s="5" t="s">
        <v>655</v>
      </c>
      <c r="N62" s="5" t="s">
        <v>51</v>
      </c>
      <c r="O62" s="14" t="s">
        <v>357</v>
      </c>
      <c r="P62" s="14">
        <v>1</v>
      </c>
      <c r="Q62" s="14"/>
    </row>
    <row r="63" spans="1:17" ht="24">
      <c r="A63" s="10" t="s">
        <v>661</v>
      </c>
      <c r="B63" s="5" t="s">
        <v>17</v>
      </c>
      <c r="C63" s="8" t="s">
        <v>46</v>
      </c>
      <c r="D63" s="8"/>
      <c r="E63" s="8"/>
      <c r="F63" s="7">
        <f t="shared" si="1"/>
        <v>5.5096546665792179</v>
      </c>
      <c r="G63" s="17" t="s">
        <v>270</v>
      </c>
      <c r="H63" s="5"/>
      <c r="I63" s="5" t="s">
        <v>49</v>
      </c>
      <c r="J63" s="8" t="s">
        <v>1181</v>
      </c>
      <c r="K63" s="4"/>
      <c r="L63" s="4"/>
      <c r="M63" s="5" t="s">
        <v>655</v>
      </c>
      <c r="N63" s="5" t="s">
        <v>51</v>
      </c>
      <c r="O63" s="14" t="s">
        <v>357</v>
      </c>
      <c r="P63" s="14">
        <v>1</v>
      </c>
      <c r="Q63" s="14"/>
    </row>
    <row r="64" spans="1:17" ht="24">
      <c r="A64" s="10" t="s">
        <v>662</v>
      </c>
      <c r="B64" s="5" t="s">
        <v>17</v>
      </c>
      <c r="C64" s="8" t="s">
        <v>46</v>
      </c>
      <c r="D64" s="8"/>
      <c r="E64" s="8"/>
      <c r="F64" s="7">
        <f t="shared" si="1"/>
        <v>5.5096546665792179</v>
      </c>
      <c r="G64" s="17" t="s">
        <v>270</v>
      </c>
      <c r="H64" s="5"/>
      <c r="I64" s="5" t="s">
        <v>49</v>
      </c>
      <c r="J64" s="8" t="s">
        <v>1181</v>
      </c>
      <c r="K64" s="4"/>
      <c r="L64" s="4"/>
      <c r="M64" s="5" t="s">
        <v>655</v>
      </c>
      <c r="N64" s="5" t="s">
        <v>51</v>
      </c>
      <c r="O64" s="14" t="s">
        <v>357</v>
      </c>
      <c r="P64" s="14">
        <v>1</v>
      </c>
      <c r="Q64" s="14"/>
    </row>
    <row r="65" spans="1:17" ht="24">
      <c r="A65" s="10" t="s">
        <v>663</v>
      </c>
      <c r="B65" s="5" t="s">
        <v>17</v>
      </c>
      <c r="C65" s="8" t="s">
        <v>46</v>
      </c>
      <c r="D65" s="8"/>
      <c r="E65" s="8"/>
      <c r="F65" s="7">
        <f t="shared" si="0"/>
        <v>9.1827577776320304</v>
      </c>
      <c r="G65" s="17" t="s">
        <v>270</v>
      </c>
      <c r="H65" s="5"/>
      <c r="I65" s="5" t="s">
        <v>49</v>
      </c>
      <c r="J65" s="8" t="s">
        <v>1180</v>
      </c>
      <c r="K65" s="4"/>
      <c r="L65" s="4"/>
      <c r="M65" s="5" t="s">
        <v>655</v>
      </c>
      <c r="N65" s="5" t="s">
        <v>71</v>
      </c>
      <c r="O65" s="14" t="s">
        <v>357</v>
      </c>
      <c r="P65" s="14">
        <v>1</v>
      </c>
      <c r="Q65" s="14"/>
    </row>
    <row r="66" spans="1:17" ht="36">
      <c r="A66" s="10" t="s">
        <v>664</v>
      </c>
      <c r="B66" s="5" t="s">
        <v>17</v>
      </c>
      <c r="C66" s="8" t="s">
        <v>46</v>
      </c>
      <c r="D66" s="8"/>
      <c r="E66" s="8"/>
      <c r="F66" s="7">
        <v>0.71</v>
      </c>
      <c r="G66" s="8" t="s">
        <v>665</v>
      </c>
      <c r="H66" s="5">
        <v>150</v>
      </c>
      <c r="I66" s="5" t="s">
        <v>569</v>
      </c>
      <c r="J66" s="26" t="s">
        <v>666</v>
      </c>
      <c r="K66" s="4"/>
      <c r="L66" s="4"/>
      <c r="M66" s="5" t="s">
        <v>655</v>
      </c>
      <c r="N66" s="5" t="s">
        <v>51</v>
      </c>
      <c r="O66" s="14" t="s">
        <v>357</v>
      </c>
      <c r="P66" s="14">
        <v>2</v>
      </c>
      <c r="Q66" s="14"/>
    </row>
    <row r="67" spans="1:17">
      <c r="A67" s="10" t="s">
        <v>667</v>
      </c>
      <c r="B67" s="5" t="s">
        <v>17</v>
      </c>
      <c r="C67" s="8" t="s">
        <v>46</v>
      </c>
      <c r="D67" s="8"/>
      <c r="E67" s="8"/>
      <c r="F67" s="7">
        <f>Cardiovascular!F93</f>
        <v>55.096546665792182</v>
      </c>
      <c r="G67" s="17" t="s">
        <v>270</v>
      </c>
      <c r="H67" s="5"/>
      <c r="I67" s="5" t="s">
        <v>49</v>
      </c>
      <c r="J67" s="8"/>
      <c r="K67" s="4" t="s">
        <v>654</v>
      </c>
      <c r="L67" s="4"/>
      <c r="M67" s="5" t="s">
        <v>655</v>
      </c>
      <c r="N67" s="5" t="s">
        <v>71</v>
      </c>
      <c r="O67" s="14" t="s">
        <v>357</v>
      </c>
      <c r="P67" s="14">
        <v>1</v>
      </c>
      <c r="Q67" s="14"/>
    </row>
    <row r="68" spans="1:17" ht="24">
      <c r="A68" s="10" t="s">
        <v>668</v>
      </c>
      <c r="B68" s="5" t="s">
        <v>17</v>
      </c>
      <c r="C68" s="8" t="s">
        <v>46</v>
      </c>
      <c r="D68" s="8"/>
      <c r="E68" s="8"/>
      <c r="F68" s="7">
        <f>$F$67/2/3</f>
        <v>9.1827577776320304</v>
      </c>
      <c r="G68" s="17" t="s">
        <v>270</v>
      </c>
      <c r="H68" s="5"/>
      <c r="I68" s="5" t="s">
        <v>49</v>
      </c>
      <c r="J68" s="8" t="s">
        <v>1180</v>
      </c>
      <c r="K68" s="4"/>
      <c r="L68" s="4"/>
      <c r="M68" s="5" t="s">
        <v>655</v>
      </c>
      <c r="N68" s="5" t="s">
        <v>71</v>
      </c>
      <c r="O68" s="14" t="s">
        <v>357</v>
      </c>
      <c r="P68" s="14">
        <v>1</v>
      </c>
      <c r="Q68" s="14"/>
    </row>
    <row r="69" spans="1:17" ht="24">
      <c r="A69" s="10" t="s">
        <v>669</v>
      </c>
      <c r="B69" s="5" t="s">
        <v>17</v>
      </c>
      <c r="C69" s="8" t="s">
        <v>46</v>
      </c>
      <c r="D69" s="8"/>
      <c r="E69" s="8"/>
      <c r="F69" s="7">
        <f t="shared" ref="F69:F75" si="2">$F$67/2/3</f>
        <v>9.1827577776320304</v>
      </c>
      <c r="G69" s="17" t="s">
        <v>270</v>
      </c>
      <c r="H69" s="5"/>
      <c r="I69" s="5" t="s">
        <v>49</v>
      </c>
      <c r="J69" s="8" t="s">
        <v>1180</v>
      </c>
      <c r="K69" s="4"/>
      <c r="L69" s="4"/>
      <c r="M69" s="5" t="s">
        <v>655</v>
      </c>
      <c r="N69" s="5" t="s">
        <v>71</v>
      </c>
      <c r="O69" s="14" t="s">
        <v>357</v>
      </c>
      <c r="P69" s="14">
        <v>1</v>
      </c>
      <c r="Q69" s="14"/>
    </row>
    <row r="70" spans="1:17" ht="24">
      <c r="A70" s="10" t="s">
        <v>670</v>
      </c>
      <c r="B70" s="5" t="s">
        <v>17</v>
      </c>
      <c r="C70" s="8" t="s">
        <v>46</v>
      </c>
      <c r="D70" s="8"/>
      <c r="E70" s="8"/>
      <c r="F70" s="7">
        <f>$F$67/2/5</f>
        <v>5.5096546665792179</v>
      </c>
      <c r="G70" s="17" t="s">
        <v>270</v>
      </c>
      <c r="H70" s="5"/>
      <c r="I70" s="5" t="s">
        <v>49</v>
      </c>
      <c r="J70" s="8" t="s">
        <v>1181</v>
      </c>
      <c r="K70" s="4"/>
      <c r="L70" s="4"/>
      <c r="M70" s="5" t="s">
        <v>655</v>
      </c>
      <c r="N70" s="5" t="s">
        <v>71</v>
      </c>
      <c r="O70" s="14" t="s">
        <v>357</v>
      </c>
      <c r="P70" s="14">
        <v>1</v>
      </c>
      <c r="Q70" s="14"/>
    </row>
    <row r="71" spans="1:17" ht="24">
      <c r="A71" s="10" t="s">
        <v>671</v>
      </c>
      <c r="B71" s="5" t="s">
        <v>17</v>
      </c>
      <c r="C71" s="8" t="s">
        <v>46</v>
      </c>
      <c r="D71" s="8"/>
      <c r="E71" s="8"/>
      <c r="F71" s="7">
        <f t="shared" ref="F71:F74" si="3">$F$67/2/5</f>
        <v>5.5096546665792179</v>
      </c>
      <c r="G71" s="17" t="s">
        <v>270</v>
      </c>
      <c r="H71" s="5"/>
      <c r="I71" s="5" t="s">
        <v>49</v>
      </c>
      <c r="J71" s="8" t="s">
        <v>1181</v>
      </c>
      <c r="K71" s="4"/>
      <c r="L71" s="4"/>
      <c r="M71" s="5" t="s">
        <v>655</v>
      </c>
      <c r="N71" s="5" t="s">
        <v>51</v>
      </c>
      <c r="O71" s="14" t="s">
        <v>357</v>
      </c>
      <c r="P71" s="14">
        <v>1</v>
      </c>
      <c r="Q71" s="14"/>
    </row>
    <row r="72" spans="1:17" ht="24">
      <c r="A72" s="10" t="s">
        <v>672</v>
      </c>
      <c r="B72" s="5" t="s">
        <v>17</v>
      </c>
      <c r="C72" s="8" t="s">
        <v>46</v>
      </c>
      <c r="D72" s="8"/>
      <c r="E72" s="8"/>
      <c r="F72" s="7">
        <f t="shared" si="3"/>
        <v>5.5096546665792179</v>
      </c>
      <c r="G72" s="17" t="s">
        <v>270</v>
      </c>
      <c r="H72" s="5"/>
      <c r="I72" s="5" t="s">
        <v>49</v>
      </c>
      <c r="J72" s="8" t="s">
        <v>1181</v>
      </c>
      <c r="K72" s="4"/>
      <c r="L72" s="4"/>
      <c r="M72" s="5" t="s">
        <v>655</v>
      </c>
      <c r="N72" s="5" t="s">
        <v>51</v>
      </c>
      <c r="O72" s="14" t="s">
        <v>357</v>
      </c>
      <c r="P72" s="14">
        <v>1</v>
      </c>
      <c r="Q72" s="14"/>
    </row>
    <row r="73" spans="1:17" ht="24">
      <c r="A73" s="10" t="s">
        <v>673</v>
      </c>
      <c r="B73" s="5" t="s">
        <v>17</v>
      </c>
      <c r="C73" s="8" t="s">
        <v>46</v>
      </c>
      <c r="D73" s="8"/>
      <c r="E73" s="8"/>
      <c r="F73" s="7">
        <f t="shared" si="3"/>
        <v>5.5096546665792179</v>
      </c>
      <c r="G73" s="17" t="s">
        <v>270</v>
      </c>
      <c r="H73" s="5"/>
      <c r="I73" s="5" t="s">
        <v>49</v>
      </c>
      <c r="J73" s="8" t="s">
        <v>1181</v>
      </c>
      <c r="K73" s="4"/>
      <c r="L73" s="4"/>
      <c r="M73" s="5" t="s">
        <v>655</v>
      </c>
      <c r="N73" s="5" t="s">
        <v>51</v>
      </c>
      <c r="O73" s="14" t="s">
        <v>357</v>
      </c>
      <c r="P73" s="14">
        <v>1</v>
      </c>
      <c r="Q73" s="14"/>
    </row>
    <row r="74" spans="1:17" ht="24">
      <c r="A74" s="10" t="s">
        <v>674</v>
      </c>
      <c r="B74" s="5" t="s">
        <v>17</v>
      </c>
      <c r="C74" s="8" t="s">
        <v>46</v>
      </c>
      <c r="D74" s="8"/>
      <c r="E74" s="8"/>
      <c r="F74" s="7">
        <f t="shared" si="3"/>
        <v>5.5096546665792179</v>
      </c>
      <c r="G74" s="17" t="s">
        <v>270</v>
      </c>
      <c r="H74" s="5"/>
      <c r="I74" s="5" t="s">
        <v>49</v>
      </c>
      <c r="J74" s="8" t="s">
        <v>1181</v>
      </c>
      <c r="K74" s="4"/>
      <c r="L74" s="4"/>
      <c r="M74" s="5" t="s">
        <v>655</v>
      </c>
      <c r="N74" s="5" t="s">
        <v>51</v>
      </c>
      <c r="O74" s="14" t="s">
        <v>357</v>
      </c>
      <c r="P74" s="14">
        <v>1</v>
      </c>
      <c r="Q74" s="14"/>
    </row>
    <row r="75" spans="1:17" ht="24">
      <c r="A75" s="10" t="s">
        <v>675</v>
      </c>
      <c r="B75" s="5" t="s">
        <v>17</v>
      </c>
      <c r="C75" s="8" t="s">
        <v>46</v>
      </c>
      <c r="D75" s="8"/>
      <c r="E75" s="8"/>
      <c r="F75" s="7">
        <f t="shared" si="2"/>
        <v>9.1827577776320304</v>
      </c>
      <c r="G75" s="17" t="s">
        <v>270</v>
      </c>
      <c r="H75" s="5"/>
      <c r="I75" s="5" t="s">
        <v>49</v>
      </c>
      <c r="J75" s="8" t="s">
        <v>1180</v>
      </c>
      <c r="K75" s="4"/>
      <c r="L75" s="4"/>
      <c r="M75" s="5" t="s">
        <v>655</v>
      </c>
      <c r="N75" s="5" t="s">
        <v>71</v>
      </c>
      <c r="O75" s="14" t="s">
        <v>357</v>
      </c>
      <c r="P75" s="14">
        <v>1</v>
      </c>
      <c r="Q75" s="14"/>
    </row>
    <row r="76" spans="1:17" ht="36">
      <c r="A76" s="10" t="s">
        <v>676</v>
      </c>
      <c r="B76" s="5" t="s">
        <v>17</v>
      </c>
      <c r="C76" s="8" t="s">
        <v>46</v>
      </c>
      <c r="D76" s="8"/>
      <c r="E76" s="8"/>
      <c r="F76" s="7">
        <v>0.71</v>
      </c>
      <c r="G76" s="8" t="s">
        <v>665</v>
      </c>
      <c r="H76" s="5">
        <v>150</v>
      </c>
      <c r="I76" s="5" t="s">
        <v>569</v>
      </c>
      <c r="J76" s="26" t="s">
        <v>666</v>
      </c>
      <c r="K76" s="4"/>
      <c r="L76" s="4"/>
      <c r="M76" s="5" t="s">
        <v>655</v>
      </c>
      <c r="N76" s="5" t="s">
        <v>51</v>
      </c>
      <c r="O76" s="14" t="s">
        <v>357</v>
      </c>
      <c r="P76" s="14">
        <v>2</v>
      </c>
      <c r="Q76" s="14"/>
    </row>
    <row r="77" spans="1:17">
      <c r="A77" s="10" t="s">
        <v>677</v>
      </c>
      <c r="B77" s="5" t="s">
        <v>200</v>
      </c>
      <c r="C77" s="8" t="s">
        <v>46</v>
      </c>
      <c r="D77" s="8"/>
      <c r="E77" s="8"/>
      <c r="F77" s="5">
        <v>100</v>
      </c>
      <c r="G77" s="8" t="s">
        <v>15</v>
      </c>
      <c r="H77" s="5">
        <v>321</v>
      </c>
      <c r="I77" s="5" t="s">
        <v>569</v>
      </c>
      <c r="J77" s="8"/>
      <c r="K77" s="4" t="s">
        <v>678</v>
      </c>
      <c r="L77" s="4"/>
      <c r="M77" s="5" t="s">
        <v>655</v>
      </c>
      <c r="N77" s="5" t="s">
        <v>71</v>
      </c>
      <c r="O77" s="14" t="s">
        <v>357</v>
      </c>
      <c r="P77" s="14"/>
      <c r="Q77" s="14"/>
    </row>
    <row r="78" spans="1:17">
      <c r="A78" s="10" t="s">
        <v>679</v>
      </c>
      <c r="B78" s="5" t="s">
        <v>200</v>
      </c>
      <c r="C78" s="8" t="s">
        <v>46</v>
      </c>
      <c r="D78" s="8"/>
      <c r="E78" s="8"/>
      <c r="F78" s="5">
        <v>8</v>
      </c>
      <c r="G78" s="8" t="s">
        <v>15</v>
      </c>
      <c r="H78" s="5">
        <v>321</v>
      </c>
      <c r="I78" s="5" t="s">
        <v>569</v>
      </c>
      <c r="J78" s="8"/>
      <c r="K78" s="4" t="s">
        <v>678</v>
      </c>
      <c r="L78" s="4"/>
      <c r="M78" s="5" t="s">
        <v>655</v>
      </c>
      <c r="N78" s="5" t="s">
        <v>71</v>
      </c>
      <c r="O78" s="14" t="s">
        <v>357</v>
      </c>
      <c r="P78" s="14">
        <v>1</v>
      </c>
      <c r="Q78" s="14"/>
    </row>
    <row r="79" spans="1:17">
      <c r="A79" s="10" t="s">
        <v>680</v>
      </c>
      <c r="B79" s="5" t="s">
        <v>200</v>
      </c>
      <c r="C79" s="8" t="s">
        <v>46</v>
      </c>
      <c r="D79" s="8"/>
      <c r="E79" s="8"/>
      <c r="F79" s="5">
        <v>85</v>
      </c>
      <c r="G79" s="8" t="s">
        <v>15</v>
      </c>
      <c r="H79" s="5">
        <v>321</v>
      </c>
      <c r="I79" s="5" t="s">
        <v>569</v>
      </c>
      <c r="J79" s="8"/>
      <c r="K79" s="4" t="s">
        <v>678</v>
      </c>
      <c r="L79" s="4"/>
      <c r="M79" s="5" t="s">
        <v>655</v>
      </c>
      <c r="N79" s="5" t="s">
        <v>71</v>
      </c>
      <c r="O79" s="14" t="s">
        <v>357</v>
      </c>
      <c r="P79" s="14"/>
      <c r="Q79" s="14"/>
    </row>
    <row r="80" spans="1:17">
      <c r="A80" s="10" t="s">
        <v>681</v>
      </c>
      <c r="B80" s="5" t="s">
        <v>200</v>
      </c>
      <c r="C80" s="8" t="s">
        <v>46</v>
      </c>
      <c r="D80" s="8"/>
      <c r="E80" s="8"/>
      <c r="F80" s="5">
        <v>60</v>
      </c>
      <c r="G80" s="8" t="s">
        <v>15</v>
      </c>
      <c r="H80" s="5">
        <v>318</v>
      </c>
      <c r="I80" s="5" t="s">
        <v>569</v>
      </c>
      <c r="J80" s="8"/>
      <c r="K80" s="4" t="s">
        <v>682</v>
      </c>
      <c r="L80" s="4"/>
      <c r="M80" s="5" t="s">
        <v>655</v>
      </c>
      <c r="N80" s="5" t="s">
        <v>71</v>
      </c>
      <c r="O80" s="14" t="s">
        <v>357</v>
      </c>
      <c r="P80" s="14"/>
      <c r="Q80" s="14"/>
    </row>
    <row r="81" spans="1:17">
      <c r="A81" s="10" t="s">
        <v>683</v>
      </c>
      <c r="B81" s="5" t="s">
        <v>200</v>
      </c>
      <c r="C81" s="8" t="s">
        <v>46</v>
      </c>
      <c r="D81" s="8"/>
      <c r="E81" s="8"/>
      <c r="F81" s="5">
        <v>59</v>
      </c>
      <c r="G81" s="8" t="s">
        <v>15</v>
      </c>
      <c r="H81" s="5">
        <v>321</v>
      </c>
      <c r="I81" s="5" t="s">
        <v>569</v>
      </c>
      <c r="J81" s="8"/>
      <c r="K81" s="4" t="s">
        <v>678</v>
      </c>
      <c r="L81" s="4"/>
      <c r="M81" s="5" t="s">
        <v>655</v>
      </c>
      <c r="N81" s="5" t="s">
        <v>71</v>
      </c>
      <c r="O81" s="14" t="s">
        <v>357</v>
      </c>
      <c r="P81" s="14"/>
      <c r="Q81" s="14"/>
    </row>
    <row r="82" spans="1:17">
      <c r="A82" s="88" t="s">
        <v>684</v>
      </c>
      <c r="B82" s="76" t="s">
        <v>200</v>
      </c>
      <c r="C82" s="11" t="s">
        <v>46</v>
      </c>
      <c r="D82" s="8"/>
      <c r="E82" s="8"/>
      <c r="F82" s="76" t="s">
        <v>685</v>
      </c>
      <c r="G82" s="11" t="s">
        <v>15</v>
      </c>
      <c r="H82" s="5" t="s">
        <v>686</v>
      </c>
      <c r="I82" s="5" t="s">
        <v>569</v>
      </c>
      <c r="J82" s="4"/>
      <c r="K82" s="4" t="s">
        <v>678</v>
      </c>
      <c r="L82" s="4"/>
      <c r="M82" s="5" t="s">
        <v>655</v>
      </c>
      <c r="N82" s="5" t="s">
        <v>71</v>
      </c>
      <c r="O82" s="14" t="s">
        <v>357</v>
      </c>
      <c r="P82" s="14"/>
      <c r="Q82" s="14"/>
    </row>
    <row r="83" spans="1:17">
      <c r="A83" s="10" t="s">
        <v>687</v>
      </c>
      <c r="B83" s="5" t="s">
        <v>200</v>
      </c>
      <c r="C83" s="8" t="s">
        <v>46</v>
      </c>
      <c r="D83" s="8"/>
      <c r="E83" s="8"/>
      <c r="F83" s="5">
        <v>18</v>
      </c>
      <c r="G83" s="8" t="s">
        <v>15</v>
      </c>
      <c r="H83" s="5">
        <v>318</v>
      </c>
      <c r="I83" s="5" t="s">
        <v>569</v>
      </c>
      <c r="J83" s="8"/>
      <c r="K83" s="4" t="s">
        <v>688</v>
      </c>
      <c r="L83" s="4"/>
      <c r="M83" s="5" t="s">
        <v>655</v>
      </c>
      <c r="N83" s="5" t="s">
        <v>71</v>
      </c>
      <c r="O83" s="14" t="s">
        <v>357</v>
      </c>
      <c r="P83" s="14"/>
      <c r="Q83" s="14"/>
    </row>
    <row r="84" spans="1:17">
      <c r="A84" s="10" t="s">
        <v>689</v>
      </c>
      <c r="B84" s="5" t="s">
        <v>200</v>
      </c>
      <c r="C84" s="8" t="s">
        <v>46</v>
      </c>
      <c r="D84" s="8"/>
      <c r="E84" s="8"/>
      <c r="F84" s="5">
        <v>6</v>
      </c>
      <c r="G84" s="8" t="s">
        <v>15</v>
      </c>
      <c r="H84" s="5">
        <v>340</v>
      </c>
      <c r="I84" s="5" t="s">
        <v>569</v>
      </c>
      <c r="J84" s="8"/>
      <c r="K84" s="4"/>
      <c r="L84" s="4"/>
      <c r="M84" s="5" t="s">
        <v>655</v>
      </c>
      <c r="N84" s="5" t="s">
        <v>71</v>
      </c>
      <c r="O84" s="14" t="s">
        <v>357</v>
      </c>
      <c r="P84" s="14"/>
      <c r="Q84" s="14"/>
    </row>
    <row r="85" spans="1:17">
      <c r="A85" s="10" t="s">
        <v>690</v>
      </c>
      <c r="B85" s="5" t="s">
        <v>200</v>
      </c>
      <c r="C85" s="8" t="s">
        <v>46</v>
      </c>
      <c r="D85" s="8"/>
      <c r="E85" s="8"/>
      <c r="F85" s="5">
        <v>100</v>
      </c>
      <c r="G85" s="8" t="s">
        <v>15</v>
      </c>
      <c r="H85" s="5">
        <v>321</v>
      </c>
      <c r="I85" s="5" t="s">
        <v>569</v>
      </c>
      <c r="J85" s="8"/>
      <c r="K85" s="4" t="s">
        <v>678</v>
      </c>
      <c r="L85" s="4"/>
      <c r="M85" s="5" t="s">
        <v>655</v>
      </c>
      <c r="N85" s="5" t="s">
        <v>71</v>
      </c>
      <c r="O85" s="14" t="s">
        <v>357</v>
      </c>
      <c r="P85" s="14"/>
      <c r="Q85" s="14"/>
    </row>
    <row r="86" spans="1:17">
      <c r="A86" s="10" t="s">
        <v>691</v>
      </c>
      <c r="B86" s="5" t="s">
        <v>200</v>
      </c>
      <c r="C86" s="8" t="s">
        <v>46</v>
      </c>
      <c r="D86" s="8"/>
      <c r="E86" s="8"/>
      <c r="F86" s="5">
        <v>8</v>
      </c>
      <c r="G86" s="8" t="s">
        <v>15</v>
      </c>
      <c r="H86" s="5">
        <v>321</v>
      </c>
      <c r="I86" s="5" t="s">
        <v>569</v>
      </c>
      <c r="J86" s="8"/>
      <c r="K86" s="4" t="s">
        <v>678</v>
      </c>
      <c r="L86" s="4"/>
      <c r="M86" s="5" t="s">
        <v>655</v>
      </c>
      <c r="N86" s="5" t="s">
        <v>71</v>
      </c>
      <c r="O86" s="14" t="s">
        <v>357</v>
      </c>
      <c r="P86" s="14">
        <v>1</v>
      </c>
      <c r="Q86" s="14"/>
    </row>
    <row r="87" spans="1:17">
      <c r="A87" s="10" t="s">
        <v>692</v>
      </c>
      <c r="B87" s="5" t="s">
        <v>200</v>
      </c>
      <c r="C87" s="8" t="s">
        <v>46</v>
      </c>
      <c r="D87" s="8"/>
      <c r="E87" s="8"/>
      <c r="F87" s="5">
        <v>85</v>
      </c>
      <c r="G87" s="8" t="s">
        <v>15</v>
      </c>
      <c r="H87" s="5">
        <v>321</v>
      </c>
      <c r="I87" s="5" t="s">
        <v>569</v>
      </c>
      <c r="J87" s="8"/>
      <c r="K87" s="4" t="s">
        <v>678</v>
      </c>
      <c r="L87" s="4"/>
      <c r="M87" s="5" t="s">
        <v>655</v>
      </c>
      <c r="N87" s="5" t="s">
        <v>71</v>
      </c>
      <c r="O87" s="14" t="s">
        <v>357</v>
      </c>
      <c r="P87" s="14"/>
      <c r="Q87" s="14"/>
    </row>
    <row r="88" spans="1:17">
      <c r="A88" s="10" t="s">
        <v>693</v>
      </c>
      <c r="B88" s="5" t="s">
        <v>200</v>
      </c>
      <c r="C88" s="8" t="s">
        <v>46</v>
      </c>
      <c r="D88" s="8"/>
      <c r="E88" s="8"/>
      <c r="F88" s="5">
        <v>60</v>
      </c>
      <c r="G88" s="8" t="s">
        <v>15</v>
      </c>
      <c r="H88" s="5">
        <v>318</v>
      </c>
      <c r="I88" s="5" t="s">
        <v>569</v>
      </c>
      <c r="J88" s="8"/>
      <c r="K88" s="4" t="s">
        <v>682</v>
      </c>
      <c r="L88" s="4"/>
      <c r="M88" s="5" t="s">
        <v>655</v>
      </c>
      <c r="N88" s="5" t="s">
        <v>71</v>
      </c>
      <c r="O88" s="14" t="s">
        <v>357</v>
      </c>
      <c r="P88" s="14"/>
      <c r="Q88" s="14"/>
    </row>
    <row r="89" spans="1:17">
      <c r="A89" s="10" t="s">
        <v>694</v>
      </c>
      <c r="B89" s="5" t="s">
        <v>200</v>
      </c>
      <c r="C89" s="8" t="s">
        <v>46</v>
      </c>
      <c r="D89" s="8"/>
      <c r="E89" s="8"/>
      <c r="F89" s="5">
        <v>59</v>
      </c>
      <c r="G89" s="8" t="s">
        <v>15</v>
      </c>
      <c r="H89" s="5">
        <v>321</v>
      </c>
      <c r="I89" s="5" t="s">
        <v>569</v>
      </c>
      <c r="J89" s="8"/>
      <c r="K89" s="4" t="s">
        <v>678</v>
      </c>
      <c r="L89" s="4"/>
      <c r="M89" s="5" t="s">
        <v>655</v>
      </c>
      <c r="N89" s="5" t="s">
        <v>71</v>
      </c>
      <c r="O89" s="14" t="s">
        <v>357</v>
      </c>
      <c r="P89" s="14"/>
      <c r="Q89" s="14"/>
    </row>
    <row r="90" spans="1:17">
      <c r="A90" s="10" t="s">
        <v>695</v>
      </c>
      <c r="B90" s="5" t="s">
        <v>200</v>
      </c>
      <c r="C90" s="8" t="s">
        <v>46</v>
      </c>
      <c r="D90" s="8"/>
      <c r="E90" s="8"/>
      <c r="F90" s="5" t="s">
        <v>685</v>
      </c>
      <c r="G90" s="8" t="s">
        <v>15</v>
      </c>
      <c r="H90" s="5" t="s">
        <v>686</v>
      </c>
      <c r="I90" s="5" t="s">
        <v>569</v>
      </c>
      <c r="J90" s="8"/>
      <c r="K90" s="4" t="s">
        <v>678</v>
      </c>
      <c r="L90" s="4"/>
      <c r="M90" s="5" t="s">
        <v>655</v>
      </c>
      <c r="N90" s="5" t="s">
        <v>71</v>
      </c>
      <c r="O90" s="14" t="s">
        <v>357</v>
      </c>
      <c r="P90" s="14"/>
      <c r="Q90" s="14"/>
    </row>
    <row r="91" spans="1:17">
      <c r="A91" s="10" t="s">
        <v>696</v>
      </c>
      <c r="B91" s="5" t="s">
        <v>200</v>
      </c>
      <c r="C91" s="8" t="s">
        <v>46</v>
      </c>
      <c r="D91" s="8"/>
      <c r="E91" s="8"/>
      <c r="F91" s="5">
        <v>18</v>
      </c>
      <c r="G91" s="8" t="s">
        <v>15</v>
      </c>
      <c r="H91" s="5">
        <v>318</v>
      </c>
      <c r="I91" s="5" t="s">
        <v>569</v>
      </c>
      <c r="J91" s="8"/>
      <c r="K91" s="4" t="s">
        <v>688</v>
      </c>
      <c r="L91" s="4"/>
      <c r="M91" s="5" t="s">
        <v>655</v>
      </c>
      <c r="N91" s="5" t="s">
        <v>71</v>
      </c>
      <c r="O91" s="14" t="s">
        <v>357</v>
      </c>
      <c r="P91" s="14"/>
      <c r="Q91" s="14"/>
    </row>
    <row r="92" spans="1:17">
      <c r="A92" s="10" t="s">
        <v>697</v>
      </c>
      <c r="B92" s="5" t="s">
        <v>200</v>
      </c>
      <c r="C92" s="8" t="s">
        <v>46</v>
      </c>
      <c r="D92" s="8"/>
      <c r="E92" s="8"/>
      <c r="F92" s="5">
        <v>6</v>
      </c>
      <c r="G92" s="8" t="s">
        <v>15</v>
      </c>
      <c r="H92" s="5">
        <v>340</v>
      </c>
      <c r="I92" s="5" t="s">
        <v>569</v>
      </c>
      <c r="J92" s="8"/>
      <c r="K92" s="4"/>
      <c r="L92" s="4"/>
      <c r="M92" s="5" t="s">
        <v>655</v>
      </c>
      <c r="N92" s="5" t="s">
        <v>71</v>
      </c>
      <c r="O92" s="14" t="s">
        <v>357</v>
      </c>
      <c r="P92" s="14"/>
      <c r="Q92" s="14"/>
    </row>
    <row r="93" spans="1:17">
      <c r="A93" s="10" t="s">
        <v>698</v>
      </c>
      <c r="B93" s="5" t="s">
        <v>14</v>
      </c>
      <c r="C93" s="8" t="s">
        <v>46</v>
      </c>
      <c r="D93" s="8"/>
      <c r="E93" s="8"/>
      <c r="F93" s="5">
        <v>550</v>
      </c>
      <c r="G93" s="8" t="s">
        <v>15</v>
      </c>
      <c r="H93" s="5">
        <v>309</v>
      </c>
      <c r="I93" s="5" t="s">
        <v>569</v>
      </c>
      <c r="J93" s="8"/>
      <c r="K93" s="4" t="s">
        <v>699</v>
      </c>
      <c r="L93" s="4"/>
      <c r="M93" s="5" t="s">
        <v>655</v>
      </c>
      <c r="N93" s="5" t="s">
        <v>71</v>
      </c>
      <c r="O93" s="14" t="s">
        <v>357</v>
      </c>
      <c r="P93" s="14"/>
      <c r="Q93" s="14"/>
    </row>
    <row r="94" spans="1:17">
      <c r="A94" s="10" t="s">
        <v>700</v>
      </c>
      <c r="B94" s="8" t="s">
        <v>568</v>
      </c>
      <c r="C94" s="8" t="s">
        <v>46</v>
      </c>
      <c r="D94" s="8"/>
      <c r="E94" s="8"/>
      <c r="F94" s="8">
        <v>0.75</v>
      </c>
      <c r="G94" s="8" t="s">
        <v>15</v>
      </c>
      <c r="H94" s="8" t="s">
        <v>701</v>
      </c>
      <c r="I94" s="5" t="s">
        <v>569</v>
      </c>
      <c r="J94" s="8"/>
      <c r="K94" s="4"/>
      <c r="L94" s="4"/>
      <c r="M94" s="5" t="s">
        <v>655</v>
      </c>
      <c r="N94" s="5" t="s">
        <v>51</v>
      </c>
      <c r="O94" s="14" t="s">
        <v>357</v>
      </c>
      <c r="P94" s="14">
        <v>2</v>
      </c>
      <c r="Q94" s="14"/>
    </row>
    <row r="95" spans="1:17">
      <c r="A95" s="10" t="s">
        <v>702</v>
      </c>
      <c r="B95" s="5" t="s">
        <v>14</v>
      </c>
      <c r="C95" s="8" t="s">
        <v>46</v>
      </c>
      <c r="D95" s="8"/>
      <c r="E95" s="8"/>
      <c r="F95" s="5">
        <v>550</v>
      </c>
      <c r="G95" s="8" t="s">
        <v>15</v>
      </c>
      <c r="H95" s="5">
        <v>309</v>
      </c>
      <c r="I95" s="5" t="s">
        <v>569</v>
      </c>
      <c r="J95" s="8"/>
      <c r="K95" s="4" t="s">
        <v>699</v>
      </c>
      <c r="L95" s="4"/>
      <c r="M95" s="5" t="s">
        <v>655</v>
      </c>
      <c r="N95" s="5" t="s">
        <v>71</v>
      </c>
      <c r="O95" s="14" t="s">
        <v>357</v>
      </c>
      <c r="P95" s="14"/>
      <c r="Q95" s="14"/>
    </row>
    <row r="96" spans="1:17">
      <c r="A96" s="10" t="s">
        <v>703</v>
      </c>
      <c r="B96" s="8" t="s">
        <v>568</v>
      </c>
      <c r="C96" s="8" t="s">
        <v>46</v>
      </c>
      <c r="D96" s="8"/>
      <c r="E96" s="8"/>
      <c r="F96" s="8">
        <v>0.75</v>
      </c>
      <c r="G96" s="8" t="s">
        <v>15</v>
      </c>
      <c r="H96" s="8" t="s">
        <v>701</v>
      </c>
      <c r="I96" s="5" t="s">
        <v>569</v>
      </c>
      <c r="J96" s="8"/>
      <c r="K96" s="4"/>
      <c r="L96" s="4"/>
      <c r="M96" s="5" t="s">
        <v>655</v>
      </c>
      <c r="N96" s="5" t="s">
        <v>51</v>
      </c>
      <c r="O96" s="14" t="s">
        <v>357</v>
      </c>
      <c r="P96" s="14">
        <v>2</v>
      </c>
      <c r="Q96" s="14"/>
    </row>
    <row r="97" spans="1:17" ht="24">
      <c r="A97" s="10" t="s">
        <v>704</v>
      </c>
      <c r="B97" s="26" t="s">
        <v>146</v>
      </c>
      <c r="C97" s="8" t="s">
        <v>46</v>
      </c>
      <c r="D97" s="8"/>
      <c r="E97" s="8"/>
      <c r="F97" s="26">
        <v>0</v>
      </c>
      <c r="G97" s="26" t="s">
        <v>705</v>
      </c>
      <c r="H97" s="4"/>
      <c r="I97" s="5" t="s">
        <v>49</v>
      </c>
      <c r="J97" s="26" t="s">
        <v>706</v>
      </c>
      <c r="K97" s="26" t="s">
        <v>707</v>
      </c>
      <c r="L97" s="5" t="s">
        <v>708</v>
      </c>
      <c r="M97" s="5" t="s">
        <v>655</v>
      </c>
      <c r="N97" s="5" t="s">
        <v>51</v>
      </c>
      <c r="O97" s="14" t="s">
        <v>357</v>
      </c>
      <c r="P97" s="14">
        <v>1</v>
      </c>
      <c r="Q97" s="14"/>
    </row>
    <row r="98" spans="1:17" ht="24">
      <c r="A98" s="10" t="s">
        <v>709</v>
      </c>
      <c r="B98" s="26" t="s">
        <v>146</v>
      </c>
      <c r="C98" s="8" t="s">
        <v>46</v>
      </c>
      <c r="D98" s="8"/>
      <c r="E98" s="8"/>
      <c r="F98" s="26">
        <v>6.6699999999999995E-2</v>
      </c>
      <c r="G98" s="26" t="s">
        <v>710</v>
      </c>
      <c r="H98" s="18"/>
      <c r="I98" s="5" t="s">
        <v>49</v>
      </c>
      <c r="J98" s="18" t="s">
        <v>711</v>
      </c>
      <c r="K98" s="26" t="s">
        <v>712</v>
      </c>
      <c r="L98" s="5"/>
      <c r="M98" s="5" t="s">
        <v>655</v>
      </c>
      <c r="N98" s="5" t="s">
        <v>51</v>
      </c>
      <c r="O98" s="14" t="s">
        <v>357</v>
      </c>
      <c r="P98" s="14">
        <v>1</v>
      </c>
      <c r="Q98" s="14"/>
    </row>
    <row r="99" spans="1:17" ht="24">
      <c r="A99" s="10" t="s">
        <v>713</v>
      </c>
      <c r="B99" s="26" t="s">
        <v>146</v>
      </c>
      <c r="C99" s="8" t="s">
        <v>46</v>
      </c>
      <c r="D99" s="8"/>
      <c r="E99" s="8"/>
      <c r="F99" s="26">
        <v>8.1000000000000003E-2</v>
      </c>
      <c r="G99" s="26" t="s">
        <v>112</v>
      </c>
      <c r="H99" s="26" t="s">
        <v>714</v>
      </c>
      <c r="I99" s="5" t="s">
        <v>49</v>
      </c>
      <c r="J99" s="26" t="s">
        <v>715</v>
      </c>
      <c r="K99" s="26" t="s">
        <v>712</v>
      </c>
      <c r="L99" s="5"/>
      <c r="M99" s="5" t="s">
        <v>655</v>
      </c>
      <c r="N99" s="5" t="s">
        <v>51</v>
      </c>
      <c r="O99" s="14" t="s">
        <v>357</v>
      </c>
      <c r="P99" s="14">
        <v>1</v>
      </c>
      <c r="Q99" s="14"/>
    </row>
    <row r="100" spans="1:17" ht="24">
      <c r="A100" s="10" t="s">
        <v>716</v>
      </c>
      <c r="B100" s="26" t="s">
        <v>146</v>
      </c>
      <c r="C100" s="8" t="s">
        <v>46</v>
      </c>
      <c r="D100" s="8"/>
      <c r="E100" s="8"/>
      <c r="F100" s="26" t="s">
        <v>717</v>
      </c>
      <c r="G100" s="26" t="s">
        <v>112</v>
      </c>
      <c r="H100" s="18" t="s">
        <v>718</v>
      </c>
      <c r="I100" s="5" t="s">
        <v>49</v>
      </c>
      <c r="J100" s="26" t="s">
        <v>719</v>
      </c>
      <c r="K100" s="5"/>
      <c r="L100" s="5"/>
      <c r="M100" s="5" t="s">
        <v>655</v>
      </c>
      <c r="N100" s="5" t="s">
        <v>51</v>
      </c>
      <c r="O100" s="14" t="s">
        <v>357</v>
      </c>
      <c r="P100" s="14">
        <v>3</v>
      </c>
      <c r="Q100" s="14"/>
    </row>
    <row r="101" spans="1:17" ht="24">
      <c r="A101" s="10" t="s">
        <v>720</v>
      </c>
      <c r="B101" s="26" t="s">
        <v>146</v>
      </c>
      <c r="C101" s="8" t="s">
        <v>46</v>
      </c>
      <c r="D101" s="8"/>
      <c r="E101" s="8"/>
      <c r="F101" s="26" t="s">
        <v>721</v>
      </c>
      <c r="G101" s="26" t="s">
        <v>112</v>
      </c>
      <c r="H101" s="26" t="s">
        <v>718</v>
      </c>
      <c r="I101" s="5" t="s">
        <v>49</v>
      </c>
      <c r="J101" s="26" t="s">
        <v>722</v>
      </c>
      <c r="K101" s="5"/>
      <c r="L101" s="5"/>
      <c r="M101" s="5" t="s">
        <v>655</v>
      </c>
      <c r="N101" s="5" t="s">
        <v>51</v>
      </c>
      <c r="O101" s="14" t="s">
        <v>357</v>
      </c>
      <c r="P101" s="14">
        <v>2</v>
      </c>
      <c r="Q101" s="14"/>
    </row>
    <row r="102" spans="1:17" ht="36">
      <c r="A102" s="10" t="s">
        <v>723</v>
      </c>
      <c r="B102" s="26" t="s">
        <v>146</v>
      </c>
      <c r="C102" s="8" t="s">
        <v>46</v>
      </c>
      <c r="D102" s="8"/>
      <c r="E102" s="8"/>
      <c r="F102" s="26">
        <v>0</v>
      </c>
      <c r="G102" s="26" t="s">
        <v>112</v>
      </c>
      <c r="H102" s="26" t="s">
        <v>724</v>
      </c>
      <c r="I102" s="5" t="s">
        <v>49</v>
      </c>
      <c r="J102" s="26"/>
      <c r="K102" s="26" t="s">
        <v>725</v>
      </c>
      <c r="L102" s="5"/>
      <c r="M102" s="5" t="s">
        <v>655</v>
      </c>
      <c r="N102" s="5" t="s">
        <v>51</v>
      </c>
      <c r="O102" s="14" t="s">
        <v>357</v>
      </c>
      <c r="P102" s="14">
        <v>1</v>
      </c>
      <c r="Q102" s="14"/>
    </row>
    <row r="103" spans="1:17" ht="24">
      <c r="A103" s="10" t="s">
        <v>726</v>
      </c>
      <c r="B103" s="26" t="s">
        <v>146</v>
      </c>
      <c r="C103" s="8" t="s">
        <v>46</v>
      </c>
      <c r="D103" s="8"/>
      <c r="E103" s="8"/>
      <c r="F103" s="26" t="s">
        <v>727</v>
      </c>
      <c r="G103" s="26" t="s">
        <v>112</v>
      </c>
      <c r="H103" s="26" t="s">
        <v>591</v>
      </c>
      <c r="I103" s="5" t="s">
        <v>49</v>
      </c>
      <c r="J103" s="26" t="s">
        <v>728</v>
      </c>
      <c r="K103" s="5"/>
      <c r="L103" s="5"/>
      <c r="M103" s="5" t="s">
        <v>655</v>
      </c>
      <c r="N103" s="5" t="s">
        <v>51</v>
      </c>
      <c r="O103" s="14" t="s">
        <v>357</v>
      </c>
      <c r="P103" s="14">
        <v>3</v>
      </c>
      <c r="Q103" s="14"/>
    </row>
    <row r="104" spans="1:17" ht="24">
      <c r="A104" s="10" t="s">
        <v>729</v>
      </c>
      <c r="B104" s="26" t="s">
        <v>146</v>
      </c>
      <c r="C104" s="8" t="s">
        <v>46</v>
      </c>
      <c r="D104" s="8"/>
      <c r="E104" s="8"/>
      <c r="F104" s="26" t="s">
        <v>730</v>
      </c>
      <c r="G104" s="26" t="s">
        <v>112</v>
      </c>
      <c r="H104" s="26" t="s">
        <v>591</v>
      </c>
      <c r="I104" s="5" t="s">
        <v>49</v>
      </c>
      <c r="J104" s="26" t="s">
        <v>731</v>
      </c>
      <c r="K104" s="5"/>
      <c r="L104" s="5"/>
      <c r="M104" s="5" t="s">
        <v>655</v>
      </c>
      <c r="N104" s="5" t="s">
        <v>51</v>
      </c>
      <c r="O104" s="14" t="s">
        <v>357</v>
      </c>
      <c r="P104" s="14">
        <v>3</v>
      </c>
      <c r="Q104" s="14"/>
    </row>
    <row r="105" spans="1:17" ht="24">
      <c r="A105" s="10" t="s">
        <v>732</v>
      </c>
      <c r="B105" s="26" t="s">
        <v>146</v>
      </c>
      <c r="C105" s="8" t="s">
        <v>46</v>
      </c>
      <c r="D105" s="8"/>
      <c r="E105" s="8"/>
      <c r="F105" s="26">
        <v>0</v>
      </c>
      <c r="G105" s="26" t="s">
        <v>733</v>
      </c>
      <c r="H105" s="18" t="s">
        <v>734</v>
      </c>
      <c r="I105" s="5" t="s">
        <v>49</v>
      </c>
      <c r="J105" s="26" t="s">
        <v>735</v>
      </c>
      <c r="K105" s="26" t="s">
        <v>707</v>
      </c>
      <c r="L105" s="5" t="s">
        <v>708</v>
      </c>
      <c r="M105" s="5" t="s">
        <v>655</v>
      </c>
      <c r="N105" s="5" t="s">
        <v>51</v>
      </c>
      <c r="O105" s="14" t="s">
        <v>357</v>
      </c>
      <c r="P105" s="14">
        <v>4</v>
      </c>
      <c r="Q105" s="14"/>
    </row>
    <row r="106" spans="1:17" ht="24">
      <c r="A106" s="10" t="s">
        <v>736</v>
      </c>
      <c r="B106" s="26" t="s">
        <v>146</v>
      </c>
      <c r="C106" s="8" t="s">
        <v>46</v>
      </c>
      <c r="D106" s="8"/>
      <c r="E106" s="8"/>
      <c r="F106" s="26" t="s">
        <v>737</v>
      </c>
      <c r="G106" s="26" t="s">
        <v>112</v>
      </c>
      <c r="H106" s="26" t="s">
        <v>591</v>
      </c>
      <c r="I106" s="5" t="s">
        <v>49</v>
      </c>
      <c r="J106" s="26" t="s">
        <v>738</v>
      </c>
      <c r="K106" s="5"/>
      <c r="L106" s="5"/>
      <c r="M106" s="5" t="s">
        <v>655</v>
      </c>
      <c r="N106" s="5" t="s">
        <v>51</v>
      </c>
      <c r="O106" s="14" t="s">
        <v>357</v>
      </c>
      <c r="P106" s="14">
        <v>2</v>
      </c>
      <c r="Q106" s="14"/>
    </row>
    <row r="107" spans="1:17">
      <c r="A107" s="10" t="s">
        <v>739</v>
      </c>
      <c r="B107" s="26" t="s">
        <v>146</v>
      </c>
      <c r="C107" s="8" t="s">
        <v>46</v>
      </c>
      <c r="D107" s="8"/>
      <c r="E107" s="8"/>
      <c r="F107" s="89" t="s">
        <v>740</v>
      </c>
      <c r="G107" s="26" t="s">
        <v>112</v>
      </c>
      <c r="H107" s="18" t="s">
        <v>591</v>
      </c>
      <c r="I107" s="5" t="s">
        <v>49</v>
      </c>
      <c r="J107" s="18"/>
      <c r="K107" s="5"/>
      <c r="L107" s="5"/>
      <c r="M107" s="5" t="s">
        <v>655</v>
      </c>
      <c r="N107" s="5" t="s">
        <v>51</v>
      </c>
      <c r="O107" s="14" t="s">
        <v>357</v>
      </c>
      <c r="P107" s="14">
        <v>1</v>
      </c>
      <c r="Q107" s="14"/>
    </row>
    <row r="108" spans="1:17" ht="24">
      <c r="A108" s="28" t="s">
        <v>741</v>
      </c>
      <c r="B108" s="3" t="s">
        <v>1</v>
      </c>
      <c r="C108" s="9" t="s">
        <v>31</v>
      </c>
      <c r="D108" s="9" t="s">
        <v>32</v>
      </c>
      <c r="E108" s="9" t="s">
        <v>33</v>
      </c>
      <c r="F108" s="9" t="s">
        <v>124</v>
      </c>
      <c r="G108" s="29" t="s">
        <v>125</v>
      </c>
      <c r="H108" s="29" t="s">
        <v>126</v>
      </c>
      <c r="I108" s="3" t="s">
        <v>36</v>
      </c>
      <c r="J108" s="3" t="s">
        <v>37</v>
      </c>
      <c r="K108" s="3" t="s">
        <v>38</v>
      </c>
      <c r="L108" s="29" t="s">
        <v>39</v>
      </c>
      <c r="M108" s="9" t="s">
        <v>40</v>
      </c>
      <c r="N108" s="9" t="s">
        <v>41</v>
      </c>
      <c r="O108" s="9" t="s">
        <v>42</v>
      </c>
      <c r="P108" s="9" t="s">
        <v>43</v>
      </c>
      <c r="Q108" s="9" t="s">
        <v>1194</v>
      </c>
    </row>
    <row r="109" spans="1:17" ht="36">
      <c r="A109" s="10" t="s">
        <v>742</v>
      </c>
      <c r="B109" s="26" t="s">
        <v>743</v>
      </c>
      <c r="C109" s="8" t="s">
        <v>46</v>
      </c>
      <c r="D109" s="8"/>
      <c r="E109" s="8"/>
      <c r="F109" s="26">
        <v>0</v>
      </c>
      <c r="G109" s="26" t="s">
        <v>705</v>
      </c>
      <c r="H109" s="26"/>
      <c r="I109" s="26" t="s">
        <v>49</v>
      </c>
      <c r="J109" s="26" t="s">
        <v>744</v>
      </c>
      <c r="K109" s="26" t="s">
        <v>745</v>
      </c>
      <c r="L109" s="21"/>
      <c r="M109" s="2" t="s">
        <v>746</v>
      </c>
      <c r="N109" s="5" t="s">
        <v>140</v>
      </c>
      <c r="O109" s="14" t="s">
        <v>132</v>
      </c>
      <c r="P109" s="14">
        <v>1</v>
      </c>
      <c r="Q109" s="14"/>
    </row>
    <row r="110" spans="1:17" ht="24">
      <c r="A110" s="10" t="s">
        <v>747</v>
      </c>
      <c r="B110" s="26" t="s">
        <v>743</v>
      </c>
      <c r="C110" s="8" t="s">
        <v>46</v>
      </c>
      <c r="D110" s="8"/>
      <c r="E110" s="8"/>
      <c r="F110" s="26">
        <v>2.41E-5</v>
      </c>
      <c r="G110" s="18" t="s">
        <v>710</v>
      </c>
      <c r="H110" s="18" t="s">
        <v>748</v>
      </c>
      <c r="I110" s="26" t="s">
        <v>49</v>
      </c>
      <c r="J110" s="26" t="s">
        <v>744</v>
      </c>
      <c r="K110" s="26" t="s">
        <v>749</v>
      </c>
      <c r="L110" s="4"/>
      <c r="M110" s="5" t="s">
        <v>746</v>
      </c>
      <c r="N110" s="5" t="s">
        <v>101</v>
      </c>
      <c r="O110" s="14" t="s">
        <v>132</v>
      </c>
      <c r="P110" s="14">
        <v>8</v>
      </c>
      <c r="Q110" s="14"/>
    </row>
    <row r="111" spans="1:17" ht="24">
      <c r="A111" s="10" t="s">
        <v>750</v>
      </c>
      <c r="B111" s="8"/>
      <c r="C111" s="8" t="s">
        <v>46</v>
      </c>
      <c r="D111" s="8"/>
      <c r="E111" s="8"/>
      <c r="F111" s="20" t="s">
        <v>751</v>
      </c>
      <c r="G111" s="17" t="s">
        <v>752</v>
      </c>
      <c r="H111" s="17">
        <v>401</v>
      </c>
      <c r="I111" s="26" t="s">
        <v>569</v>
      </c>
      <c r="J111" s="17"/>
      <c r="K111" s="33"/>
      <c r="L111" s="21"/>
      <c r="M111" s="5" t="s">
        <v>746</v>
      </c>
      <c r="N111" s="5" t="s">
        <v>140</v>
      </c>
      <c r="O111" s="14" t="s">
        <v>132</v>
      </c>
      <c r="P111" s="14">
        <v>4</v>
      </c>
      <c r="Q111" s="14"/>
    </row>
    <row r="112" spans="1:17" ht="36">
      <c r="A112" s="10" t="s">
        <v>753</v>
      </c>
      <c r="B112" s="26" t="s">
        <v>743</v>
      </c>
      <c r="C112" s="8" t="s">
        <v>46</v>
      </c>
      <c r="D112" s="8"/>
      <c r="E112" s="8"/>
      <c r="F112" s="26">
        <v>1.1000000000000001E-3</v>
      </c>
      <c r="G112" s="17" t="s">
        <v>112</v>
      </c>
      <c r="H112" s="18" t="s">
        <v>754</v>
      </c>
      <c r="I112" s="26" t="s">
        <v>49</v>
      </c>
      <c r="J112" s="18" t="s">
        <v>744</v>
      </c>
      <c r="K112" s="26" t="s">
        <v>745</v>
      </c>
      <c r="L112" s="4"/>
      <c r="M112" s="5" t="s">
        <v>746</v>
      </c>
      <c r="N112" s="5" t="s">
        <v>140</v>
      </c>
      <c r="O112" s="14" t="s">
        <v>132</v>
      </c>
      <c r="P112" s="14">
        <v>5</v>
      </c>
      <c r="Q112" s="14"/>
    </row>
    <row r="113" spans="1:17">
      <c r="A113" s="10" t="s">
        <v>755</v>
      </c>
      <c r="B113" s="8" t="s">
        <v>756</v>
      </c>
      <c r="C113" s="8" t="s">
        <v>46</v>
      </c>
      <c r="D113" s="8"/>
      <c r="E113" s="8"/>
      <c r="F113" s="8">
        <v>0.122</v>
      </c>
      <c r="G113" s="17" t="s">
        <v>112</v>
      </c>
      <c r="H113" s="17">
        <v>10</v>
      </c>
      <c r="I113" s="26" t="s">
        <v>569</v>
      </c>
      <c r="J113" s="17" t="s">
        <v>757</v>
      </c>
      <c r="K113" s="33"/>
      <c r="L113" s="21"/>
      <c r="M113" s="5" t="s">
        <v>746</v>
      </c>
      <c r="N113" s="5" t="s">
        <v>140</v>
      </c>
      <c r="O113" s="14" t="s">
        <v>132</v>
      </c>
      <c r="P113" s="14">
        <v>3</v>
      </c>
      <c r="Q113" s="14"/>
    </row>
    <row r="114" spans="1:17">
      <c r="A114" s="10" t="s">
        <v>758</v>
      </c>
      <c r="B114" s="8" t="s">
        <v>756</v>
      </c>
      <c r="C114" s="8" t="s">
        <v>46</v>
      </c>
      <c r="D114" s="8"/>
      <c r="E114" s="8"/>
      <c r="F114" s="8">
        <v>274.58999999999997</v>
      </c>
      <c r="G114" s="17" t="s">
        <v>112</v>
      </c>
      <c r="H114" s="17">
        <v>10</v>
      </c>
      <c r="I114" s="26" t="s">
        <v>569</v>
      </c>
      <c r="J114" s="17" t="s">
        <v>759</v>
      </c>
      <c r="K114" s="33"/>
      <c r="L114" s="21"/>
      <c r="M114" s="5" t="s">
        <v>746</v>
      </c>
      <c r="N114" s="5" t="s">
        <v>51</v>
      </c>
      <c r="O114" s="14" t="s">
        <v>132</v>
      </c>
      <c r="P114" s="14"/>
      <c r="Q114" s="14"/>
    </row>
    <row r="115" spans="1:17">
      <c r="A115" s="10" t="s">
        <v>760</v>
      </c>
      <c r="B115" s="8" t="s">
        <v>756</v>
      </c>
      <c r="C115" s="8" t="s">
        <v>46</v>
      </c>
      <c r="D115" s="8"/>
      <c r="E115" s="8"/>
      <c r="F115" s="8">
        <v>274.46796000000001</v>
      </c>
      <c r="G115" s="17" t="s">
        <v>112</v>
      </c>
      <c r="H115" s="17">
        <v>10</v>
      </c>
      <c r="I115" s="26" t="s">
        <v>569</v>
      </c>
      <c r="J115" s="17" t="s">
        <v>761</v>
      </c>
      <c r="K115" s="33"/>
      <c r="L115" s="21"/>
      <c r="M115" s="5" t="s">
        <v>746</v>
      </c>
      <c r="N115" s="5" t="s">
        <v>71</v>
      </c>
      <c r="O115" s="14" t="s">
        <v>132</v>
      </c>
      <c r="P115" s="14"/>
      <c r="Q115" s="14"/>
    </row>
    <row r="116" spans="1:17" ht="36">
      <c r="A116" s="10" t="s">
        <v>762</v>
      </c>
      <c r="B116" s="26" t="s">
        <v>743</v>
      </c>
      <c r="C116" s="8" t="s">
        <v>46</v>
      </c>
      <c r="D116" s="8"/>
      <c r="E116" s="8"/>
      <c r="F116" s="26">
        <v>2.35E-2</v>
      </c>
      <c r="G116" s="18" t="s">
        <v>763</v>
      </c>
      <c r="H116" s="18" t="s">
        <v>764</v>
      </c>
      <c r="I116" s="26" t="s">
        <v>49</v>
      </c>
      <c r="J116" s="18"/>
      <c r="K116" s="26" t="s">
        <v>745</v>
      </c>
      <c r="L116" s="4"/>
      <c r="M116" s="5" t="s">
        <v>746</v>
      </c>
      <c r="N116" s="5" t="s">
        <v>140</v>
      </c>
      <c r="O116" s="14" t="s">
        <v>132</v>
      </c>
      <c r="P116" s="14">
        <v>4</v>
      </c>
      <c r="Q116" s="14"/>
    </row>
    <row r="117" spans="1:17" ht="24">
      <c r="A117" s="10" t="s">
        <v>765</v>
      </c>
      <c r="B117" s="8" t="s">
        <v>756</v>
      </c>
      <c r="C117" s="8" t="s">
        <v>46</v>
      </c>
      <c r="D117" s="8"/>
      <c r="E117" s="8"/>
      <c r="F117" s="8" t="s">
        <v>766</v>
      </c>
      <c r="G117" s="17" t="s">
        <v>767</v>
      </c>
      <c r="H117" s="17">
        <v>160</v>
      </c>
      <c r="I117" s="26" t="s">
        <v>569</v>
      </c>
      <c r="J117" s="17" t="s">
        <v>768</v>
      </c>
      <c r="K117" s="33"/>
      <c r="L117" s="21"/>
      <c r="M117" s="5" t="s">
        <v>746</v>
      </c>
      <c r="N117" s="5" t="s">
        <v>71</v>
      </c>
      <c r="O117" s="14" t="s">
        <v>132</v>
      </c>
      <c r="P117" s="14">
        <v>3</v>
      </c>
      <c r="Q117" s="14"/>
    </row>
    <row r="118" spans="1:17">
      <c r="A118" s="10" t="s">
        <v>769</v>
      </c>
      <c r="B118" s="8" t="s">
        <v>756</v>
      </c>
      <c r="C118" s="8" t="s">
        <v>46</v>
      </c>
      <c r="D118" s="8"/>
      <c r="E118" s="8"/>
      <c r="F118" s="8">
        <v>10</v>
      </c>
      <c r="G118" s="17" t="s">
        <v>767</v>
      </c>
      <c r="H118" s="17">
        <v>160</v>
      </c>
      <c r="I118" s="26" t="s">
        <v>569</v>
      </c>
      <c r="J118" s="17" t="s">
        <v>770</v>
      </c>
      <c r="K118" s="33"/>
      <c r="L118" s="21"/>
      <c r="M118" s="5" t="s">
        <v>746</v>
      </c>
      <c r="N118" s="5" t="s">
        <v>71</v>
      </c>
      <c r="O118" s="14" t="s">
        <v>132</v>
      </c>
      <c r="P118" s="14">
        <v>1</v>
      </c>
      <c r="Q118" s="14"/>
    </row>
    <row r="119" spans="1:17" ht="24">
      <c r="A119" s="10" t="s">
        <v>771</v>
      </c>
      <c r="B119" s="8" t="s">
        <v>756</v>
      </c>
      <c r="C119" s="8" t="s">
        <v>46</v>
      </c>
      <c r="D119" s="8"/>
      <c r="E119" s="8"/>
      <c r="F119" s="8" t="s">
        <v>772</v>
      </c>
      <c r="G119" s="17" t="s">
        <v>767</v>
      </c>
      <c r="H119" s="17">
        <v>160</v>
      </c>
      <c r="I119" s="26" t="s">
        <v>569</v>
      </c>
      <c r="J119" s="17" t="s">
        <v>773</v>
      </c>
      <c r="K119" s="33"/>
      <c r="L119" s="21"/>
      <c r="M119" s="5" t="s">
        <v>746</v>
      </c>
      <c r="N119" s="5" t="s">
        <v>71</v>
      </c>
      <c r="O119" s="14" t="s">
        <v>132</v>
      </c>
      <c r="P119" s="14">
        <v>1</v>
      </c>
      <c r="Q119" s="14"/>
    </row>
    <row r="120" spans="1:17" ht="36">
      <c r="A120" s="10" t="s">
        <v>774</v>
      </c>
      <c r="B120" s="26" t="s">
        <v>743</v>
      </c>
      <c r="C120" s="8" t="s">
        <v>46</v>
      </c>
      <c r="D120" s="8"/>
      <c r="E120" s="8"/>
      <c r="F120" s="26">
        <v>2.39</v>
      </c>
      <c r="G120" s="18" t="s">
        <v>763</v>
      </c>
      <c r="H120" s="18" t="s">
        <v>591</v>
      </c>
      <c r="I120" s="26" t="s">
        <v>49</v>
      </c>
      <c r="J120" s="18"/>
      <c r="K120" s="26" t="s">
        <v>745</v>
      </c>
      <c r="L120" s="4"/>
      <c r="M120" s="5" t="s">
        <v>746</v>
      </c>
      <c r="N120" s="5" t="s">
        <v>140</v>
      </c>
      <c r="O120" s="14" t="s">
        <v>132</v>
      </c>
      <c r="P120" s="14">
        <v>2</v>
      </c>
      <c r="Q120" s="14"/>
    </row>
    <row r="121" spans="1:17" ht="24">
      <c r="A121" s="10" t="s">
        <v>775</v>
      </c>
      <c r="B121" s="8" t="s">
        <v>776</v>
      </c>
      <c r="C121" s="8" t="s">
        <v>46</v>
      </c>
      <c r="D121" s="8"/>
      <c r="E121" s="8"/>
      <c r="F121" s="26" t="s">
        <v>777</v>
      </c>
      <c r="G121" s="17" t="s">
        <v>112</v>
      </c>
      <c r="H121" s="18" t="s">
        <v>591</v>
      </c>
      <c r="I121" s="26" t="s">
        <v>569</v>
      </c>
      <c r="J121" s="17"/>
      <c r="K121" s="26" t="s">
        <v>778</v>
      </c>
      <c r="L121" s="21"/>
      <c r="M121" s="5" t="s">
        <v>746</v>
      </c>
      <c r="N121" s="5" t="s">
        <v>140</v>
      </c>
      <c r="O121" s="14" t="s">
        <v>132</v>
      </c>
      <c r="P121" s="14">
        <v>3</v>
      </c>
      <c r="Q121" s="14"/>
    </row>
    <row r="122" spans="1:17" ht="24">
      <c r="A122" s="10" t="s">
        <v>779</v>
      </c>
      <c r="B122" s="8" t="s">
        <v>776</v>
      </c>
      <c r="C122" s="8" t="s">
        <v>46</v>
      </c>
      <c r="D122" s="8"/>
      <c r="E122" s="8"/>
      <c r="F122" s="26" t="s">
        <v>777</v>
      </c>
      <c r="G122" s="17" t="s">
        <v>112</v>
      </c>
      <c r="H122" s="18" t="s">
        <v>591</v>
      </c>
      <c r="I122" s="26" t="s">
        <v>569</v>
      </c>
      <c r="J122" s="17"/>
      <c r="K122" s="26" t="s">
        <v>778</v>
      </c>
      <c r="L122" s="21"/>
      <c r="M122" s="5" t="s">
        <v>746</v>
      </c>
      <c r="N122" s="5" t="s">
        <v>140</v>
      </c>
      <c r="O122" s="14" t="s">
        <v>132</v>
      </c>
      <c r="P122" s="14">
        <v>3</v>
      </c>
      <c r="Q122" s="14"/>
    </row>
    <row r="123" spans="1:17">
      <c r="A123" s="10" t="s">
        <v>780</v>
      </c>
      <c r="B123" s="8" t="s">
        <v>776</v>
      </c>
      <c r="C123" s="8" t="s">
        <v>46</v>
      </c>
      <c r="D123" s="8"/>
      <c r="E123" s="8"/>
      <c r="F123" s="26">
        <v>0</v>
      </c>
      <c r="G123" s="17" t="s">
        <v>15</v>
      </c>
      <c r="H123" s="17">
        <v>341</v>
      </c>
      <c r="I123" s="26" t="s">
        <v>569</v>
      </c>
      <c r="J123" s="4"/>
      <c r="K123" s="17" t="s">
        <v>781</v>
      </c>
      <c r="L123" s="21"/>
      <c r="M123" s="5" t="s">
        <v>746</v>
      </c>
      <c r="N123" s="5" t="s">
        <v>140</v>
      </c>
      <c r="O123" s="14" t="s">
        <v>132</v>
      </c>
      <c r="P123" s="14">
        <v>1</v>
      </c>
      <c r="Q123" s="14"/>
    </row>
    <row r="124" spans="1:17" ht="48">
      <c r="A124" s="10" t="s">
        <v>782</v>
      </c>
      <c r="B124" s="26" t="s">
        <v>743</v>
      </c>
      <c r="C124" s="8" t="s">
        <v>46</v>
      </c>
      <c r="D124" s="8"/>
      <c r="E124" s="8"/>
      <c r="F124" s="26">
        <v>0</v>
      </c>
      <c r="G124" s="18" t="s">
        <v>783</v>
      </c>
      <c r="H124" s="18" t="s">
        <v>784</v>
      </c>
      <c r="I124" s="26" t="s">
        <v>49</v>
      </c>
      <c r="J124" s="4"/>
      <c r="K124" s="18" t="s">
        <v>785</v>
      </c>
      <c r="L124" s="4"/>
      <c r="M124" s="5" t="s">
        <v>746</v>
      </c>
      <c r="N124" s="5" t="s">
        <v>71</v>
      </c>
      <c r="O124" s="14" t="s">
        <v>132</v>
      </c>
      <c r="P124" s="14">
        <v>1</v>
      </c>
      <c r="Q124" s="14"/>
    </row>
    <row r="125" spans="1:17" ht="24">
      <c r="A125" s="10" t="s">
        <v>786</v>
      </c>
      <c r="B125" s="8" t="s">
        <v>756</v>
      </c>
      <c r="C125" s="8" t="s">
        <v>46</v>
      </c>
      <c r="D125" s="8"/>
      <c r="E125" s="8"/>
      <c r="F125" s="8">
        <v>0</v>
      </c>
      <c r="G125" s="17" t="s">
        <v>112</v>
      </c>
      <c r="H125" s="17">
        <v>290</v>
      </c>
      <c r="I125" s="26" t="s">
        <v>569</v>
      </c>
      <c r="J125" s="4"/>
      <c r="K125" s="17" t="s">
        <v>787</v>
      </c>
      <c r="L125" s="21"/>
      <c r="M125" s="5" t="s">
        <v>746</v>
      </c>
      <c r="N125" s="5" t="s">
        <v>71</v>
      </c>
      <c r="O125" s="14" t="s">
        <v>132</v>
      </c>
      <c r="P125" s="14">
        <v>1</v>
      </c>
      <c r="Q125" s="14"/>
    </row>
    <row r="126" spans="1:17">
      <c r="A126" s="10" t="s">
        <v>788</v>
      </c>
      <c r="B126" s="8" t="s">
        <v>756</v>
      </c>
      <c r="C126" s="8" t="s">
        <v>46</v>
      </c>
      <c r="D126" s="8"/>
      <c r="E126" s="8"/>
      <c r="F126" s="8">
        <v>180</v>
      </c>
      <c r="G126" s="17" t="s">
        <v>112</v>
      </c>
      <c r="H126" s="17">
        <v>10</v>
      </c>
      <c r="I126" s="26" t="s">
        <v>569</v>
      </c>
      <c r="J126" s="17" t="s">
        <v>789</v>
      </c>
      <c r="K126" s="33"/>
      <c r="L126" s="21"/>
      <c r="M126" s="5" t="s">
        <v>746</v>
      </c>
      <c r="N126" s="5" t="s">
        <v>71</v>
      </c>
      <c r="O126" s="14" t="s">
        <v>132</v>
      </c>
      <c r="P126" s="14">
        <v>1</v>
      </c>
      <c r="Q126" s="14"/>
    </row>
    <row r="127" spans="1:17">
      <c r="A127" s="10" t="s">
        <v>790</v>
      </c>
      <c r="B127" s="8"/>
      <c r="C127" s="8" t="s">
        <v>46</v>
      </c>
      <c r="D127" s="8"/>
      <c r="E127" s="8"/>
      <c r="F127" s="8">
        <v>1</v>
      </c>
      <c r="G127" s="17" t="s">
        <v>791</v>
      </c>
      <c r="H127" s="17">
        <v>401</v>
      </c>
      <c r="I127" s="26" t="s">
        <v>569</v>
      </c>
      <c r="J127" s="4"/>
      <c r="K127" s="33"/>
      <c r="L127" s="21"/>
      <c r="M127" s="5" t="s">
        <v>746</v>
      </c>
      <c r="N127" s="5" t="s">
        <v>71</v>
      </c>
      <c r="O127" s="14" t="s">
        <v>132</v>
      </c>
      <c r="P127" s="14">
        <v>1</v>
      </c>
      <c r="Q127" s="14"/>
    </row>
    <row r="128" spans="1:17">
      <c r="A128" s="10" t="s">
        <v>792</v>
      </c>
      <c r="B128" s="8" t="s">
        <v>756</v>
      </c>
      <c r="C128" s="8" t="s">
        <v>46</v>
      </c>
      <c r="D128" s="8"/>
      <c r="E128" s="8"/>
      <c r="F128" s="8">
        <v>180</v>
      </c>
      <c r="G128" s="17" t="s">
        <v>112</v>
      </c>
      <c r="H128" s="17">
        <v>10</v>
      </c>
      <c r="I128" s="26" t="s">
        <v>569</v>
      </c>
      <c r="J128" s="17" t="s">
        <v>793</v>
      </c>
      <c r="K128" s="33"/>
      <c r="L128" s="21"/>
      <c r="M128" s="5" t="s">
        <v>746</v>
      </c>
      <c r="N128" s="5" t="s">
        <v>71</v>
      </c>
      <c r="O128" s="14" t="s">
        <v>132</v>
      </c>
      <c r="P128" s="14">
        <v>1</v>
      </c>
      <c r="Q128" s="14"/>
    </row>
    <row r="129" spans="1:17" ht="24">
      <c r="A129" s="10" t="s">
        <v>794</v>
      </c>
      <c r="B129" s="8"/>
      <c r="C129" s="8" t="s">
        <v>46</v>
      </c>
      <c r="D129" s="8"/>
      <c r="E129" s="8"/>
      <c r="F129" s="20">
        <v>0.01</v>
      </c>
      <c r="G129" s="17" t="s">
        <v>791</v>
      </c>
      <c r="H129" s="17">
        <v>401</v>
      </c>
      <c r="I129" s="26" t="s">
        <v>569</v>
      </c>
      <c r="J129" s="4"/>
      <c r="K129" s="17" t="s">
        <v>795</v>
      </c>
      <c r="L129" s="21"/>
      <c r="M129" s="5" t="s">
        <v>746</v>
      </c>
      <c r="N129" s="5" t="s">
        <v>51</v>
      </c>
      <c r="O129" s="14" t="s">
        <v>132</v>
      </c>
      <c r="P129" s="14">
        <v>3</v>
      </c>
      <c r="Q129" s="14"/>
    </row>
    <row r="130" spans="1:17" ht="36">
      <c r="A130" s="10" t="s">
        <v>796</v>
      </c>
      <c r="B130" s="26" t="s">
        <v>743</v>
      </c>
      <c r="C130" s="8" t="s">
        <v>46</v>
      </c>
      <c r="D130" s="8"/>
      <c r="E130" s="8"/>
      <c r="F130" s="26">
        <v>4.4299999999999999E-2</v>
      </c>
      <c r="G130" s="18" t="s">
        <v>797</v>
      </c>
      <c r="H130" s="18" t="s">
        <v>734</v>
      </c>
      <c r="I130" s="26" t="s">
        <v>49</v>
      </c>
      <c r="J130" s="18"/>
      <c r="K130" s="26"/>
      <c r="L130" s="4"/>
      <c r="M130" s="5" t="s">
        <v>746</v>
      </c>
      <c r="N130" s="5" t="s">
        <v>116</v>
      </c>
      <c r="O130" s="14" t="s">
        <v>132</v>
      </c>
      <c r="P130" s="14">
        <v>4</v>
      </c>
      <c r="Q130" s="14"/>
    </row>
    <row r="131" spans="1:17" ht="36">
      <c r="A131" s="10" t="s">
        <v>798</v>
      </c>
      <c r="B131" s="26" t="s">
        <v>743</v>
      </c>
      <c r="C131" s="8" t="s">
        <v>46</v>
      </c>
      <c r="D131" s="8"/>
      <c r="E131" s="8"/>
      <c r="F131" s="26">
        <v>9.7000000000000003E-3</v>
      </c>
      <c r="G131" s="18" t="s">
        <v>763</v>
      </c>
      <c r="H131" s="18" t="s">
        <v>764</v>
      </c>
      <c r="I131" s="26" t="s">
        <v>49</v>
      </c>
      <c r="J131" s="18"/>
      <c r="K131" s="26" t="s">
        <v>745</v>
      </c>
      <c r="L131" s="4"/>
      <c r="M131" s="5" t="s">
        <v>746</v>
      </c>
      <c r="N131" s="5" t="s">
        <v>116</v>
      </c>
      <c r="O131" s="14" t="s">
        <v>132</v>
      </c>
      <c r="P131" s="14">
        <v>4</v>
      </c>
      <c r="Q131" s="14"/>
    </row>
    <row r="132" spans="1:17">
      <c r="A132" s="10" t="s">
        <v>799</v>
      </c>
      <c r="B132" s="8" t="s">
        <v>756</v>
      </c>
      <c r="C132" s="8" t="s">
        <v>46</v>
      </c>
      <c r="D132" s="8"/>
      <c r="E132" s="8"/>
      <c r="F132" s="8">
        <v>3.45</v>
      </c>
      <c r="G132" s="17" t="s">
        <v>112</v>
      </c>
      <c r="H132" s="17">
        <v>10</v>
      </c>
      <c r="I132" s="26" t="s">
        <v>569</v>
      </c>
      <c r="J132" s="17" t="s">
        <v>800</v>
      </c>
      <c r="K132" s="33"/>
      <c r="L132" s="21"/>
      <c r="M132" s="5" t="s">
        <v>746</v>
      </c>
      <c r="N132" s="5" t="s">
        <v>51</v>
      </c>
      <c r="O132" s="14" t="s">
        <v>132</v>
      </c>
      <c r="P132" s="14">
        <v>2</v>
      </c>
      <c r="Q132" s="14"/>
    </row>
    <row r="133" spans="1:17">
      <c r="A133" s="10" t="s">
        <v>801</v>
      </c>
      <c r="B133" s="8" t="s">
        <v>756</v>
      </c>
      <c r="C133" s="8" t="s">
        <v>46</v>
      </c>
      <c r="D133" s="8"/>
      <c r="E133" s="8"/>
      <c r="F133" s="8">
        <v>575</v>
      </c>
      <c r="G133" s="17" t="s">
        <v>112</v>
      </c>
      <c r="H133" s="17">
        <v>10</v>
      </c>
      <c r="I133" s="26" t="s">
        <v>569</v>
      </c>
      <c r="J133" s="17" t="s">
        <v>802</v>
      </c>
      <c r="K133" s="33"/>
      <c r="L133" s="21"/>
      <c r="M133" s="5" t="s">
        <v>746</v>
      </c>
      <c r="N133" s="5" t="s">
        <v>71</v>
      </c>
      <c r="O133" s="14" t="s">
        <v>132</v>
      </c>
      <c r="P133" s="14"/>
      <c r="Q133" s="14"/>
    </row>
    <row r="134" spans="1:17">
      <c r="A134" s="10" t="s">
        <v>803</v>
      </c>
      <c r="B134" s="8"/>
      <c r="C134" s="8" t="s">
        <v>46</v>
      </c>
      <c r="D134" s="8"/>
      <c r="E134" s="8"/>
      <c r="F134" s="8">
        <v>1</v>
      </c>
      <c r="G134" s="8" t="s">
        <v>15</v>
      </c>
      <c r="H134" s="17">
        <v>317</v>
      </c>
      <c r="I134" s="26" t="s">
        <v>569</v>
      </c>
      <c r="J134" s="4"/>
      <c r="K134" s="33"/>
      <c r="L134" s="21"/>
      <c r="M134" s="5" t="s">
        <v>746</v>
      </c>
      <c r="N134" s="5" t="s">
        <v>51</v>
      </c>
      <c r="O134" s="14" t="s">
        <v>132</v>
      </c>
      <c r="P134" s="14">
        <v>1</v>
      </c>
      <c r="Q134" s="14"/>
    </row>
    <row r="135" spans="1:17">
      <c r="A135" s="10" t="s">
        <v>804</v>
      </c>
      <c r="B135" s="8" t="s">
        <v>756</v>
      </c>
      <c r="C135" s="8" t="s">
        <v>46</v>
      </c>
      <c r="D135" s="8"/>
      <c r="E135" s="8"/>
      <c r="F135" s="8">
        <v>571.54999999999995</v>
      </c>
      <c r="G135" s="17" t="s">
        <v>112</v>
      </c>
      <c r="H135" s="17">
        <v>10</v>
      </c>
      <c r="I135" s="26" t="s">
        <v>569</v>
      </c>
      <c r="J135" s="17" t="s">
        <v>805</v>
      </c>
      <c r="K135" s="33"/>
      <c r="L135" s="21"/>
      <c r="M135" s="5" t="s">
        <v>746</v>
      </c>
      <c r="N135" s="5" t="s">
        <v>71</v>
      </c>
      <c r="O135" s="14" t="s">
        <v>132</v>
      </c>
      <c r="P135" s="14"/>
      <c r="Q135" s="14"/>
    </row>
    <row r="136" spans="1:17" ht="36">
      <c r="A136" s="10" t="s">
        <v>806</v>
      </c>
      <c r="B136" s="26" t="s">
        <v>743</v>
      </c>
      <c r="C136" s="8" t="s">
        <v>46</v>
      </c>
      <c r="D136" s="8"/>
      <c r="E136" s="8"/>
      <c r="F136" s="26">
        <v>8.8000000000000005E-3</v>
      </c>
      <c r="G136" s="18" t="s">
        <v>763</v>
      </c>
      <c r="H136" s="18" t="s">
        <v>764</v>
      </c>
      <c r="I136" s="26" t="s">
        <v>49</v>
      </c>
      <c r="J136" s="18"/>
      <c r="K136" s="26" t="s">
        <v>745</v>
      </c>
      <c r="L136" s="4"/>
      <c r="M136" s="5" t="s">
        <v>746</v>
      </c>
      <c r="N136" s="5" t="s">
        <v>116</v>
      </c>
      <c r="O136" s="14" t="s">
        <v>132</v>
      </c>
      <c r="P136" s="14">
        <v>4</v>
      </c>
      <c r="Q136" s="14"/>
    </row>
    <row r="137" spans="1:17">
      <c r="A137" s="10" t="s">
        <v>807</v>
      </c>
      <c r="B137" s="8" t="s">
        <v>756</v>
      </c>
      <c r="C137" s="8" t="s">
        <v>46</v>
      </c>
      <c r="D137" s="8"/>
      <c r="E137" s="8"/>
      <c r="F137" s="8">
        <v>5.32</v>
      </c>
      <c r="G137" s="17" t="s">
        <v>112</v>
      </c>
      <c r="H137" s="17">
        <v>10</v>
      </c>
      <c r="I137" s="26" t="s">
        <v>569</v>
      </c>
      <c r="J137" s="17" t="s">
        <v>800</v>
      </c>
      <c r="K137" s="33"/>
      <c r="L137" s="21"/>
      <c r="M137" s="5" t="s">
        <v>746</v>
      </c>
      <c r="N137" s="5" t="s">
        <v>71</v>
      </c>
      <c r="O137" s="14" t="s">
        <v>132</v>
      </c>
      <c r="P137" s="14">
        <v>3</v>
      </c>
      <c r="Q137" s="14"/>
    </row>
    <row r="138" spans="1:17">
      <c r="A138" s="10" t="s">
        <v>808</v>
      </c>
      <c r="B138" s="8" t="s">
        <v>756</v>
      </c>
      <c r="C138" s="8" t="s">
        <v>46</v>
      </c>
      <c r="D138" s="8"/>
      <c r="E138" s="8"/>
      <c r="F138" s="8">
        <v>638</v>
      </c>
      <c r="G138" s="17" t="s">
        <v>112</v>
      </c>
      <c r="H138" s="17">
        <v>10</v>
      </c>
      <c r="I138" s="26" t="s">
        <v>569</v>
      </c>
      <c r="J138" s="17" t="s">
        <v>809</v>
      </c>
      <c r="K138" s="33"/>
      <c r="L138" s="21"/>
      <c r="M138" s="5" t="s">
        <v>746</v>
      </c>
      <c r="N138" s="5" t="s">
        <v>71</v>
      </c>
      <c r="O138" s="14" t="s">
        <v>132</v>
      </c>
      <c r="P138" s="14">
        <v>1</v>
      </c>
      <c r="Q138" s="14"/>
    </row>
    <row r="139" spans="1:17">
      <c r="A139" s="10" t="s">
        <v>810</v>
      </c>
      <c r="B139" s="8"/>
      <c r="C139" s="8" t="s">
        <v>46</v>
      </c>
      <c r="D139" s="8"/>
      <c r="E139" s="8"/>
      <c r="F139" s="8">
        <v>0.99199999999999999</v>
      </c>
      <c r="G139" s="8" t="s">
        <v>15</v>
      </c>
      <c r="H139" s="17">
        <v>317</v>
      </c>
      <c r="I139" s="26" t="s">
        <v>569</v>
      </c>
      <c r="J139" s="4"/>
      <c r="K139" s="33"/>
      <c r="L139" s="21"/>
      <c r="M139" s="5" t="s">
        <v>746</v>
      </c>
      <c r="N139" s="5" t="s">
        <v>51</v>
      </c>
      <c r="O139" s="14" t="s">
        <v>132</v>
      </c>
      <c r="P139" s="14">
        <v>1</v>
      </c>
      <c r="Q139" s="14"/>
    </row>
    <row r="140" spans="1:17">
      <c r="A140" s="10" t="s">
        <v>811</v>
      </c>
      <c r="B140" s="8" t="s">
        <v>756</v>
      </c>
      <c r="C140" s="8" t="s">
        <v>46</v>
      </c>
      <c r="D140" s="8"/>
      <c r="E140" s="8"/>
      <c r="F140" s="8">
        <v>632.78</v>
      </c>
      <c r="G140" s="17" t="s">
        <v>112</v>
      </c>
      <c r="H140" s="17">
        <v>10</v>
      </c>
      <c r="I140" s="26" t="s">
        <v>569</v>
      </c>
      <c r="J140" s="17" t="s">
        <v>805</v>
      </c>
      <c r="K140" s="33"/>
      <c r="L140" s="21"/>
      <c r="M140" s="5" t="s">
        <v>746</v>
      </c>
      <c r="N140" s="5" t="s">
        <v>71</v>
      </c>
      <c r="O140" s="14" t="s">
        <v>132</v>
      </c>
      <c r="P140" s="14">
        <v>1</v>
      </c>
      <c r="Q140" s="14"/>
    </row>
    <row r="141" spans="1:17" ht="36">
      <c r="A141" s="10" t="s">
        <v>812</v>
      </c>
      <c r="B141" s="26" t="s">
        <v>743</v>
      </c>
      <c r="C141" s="8" t="s">
        <v>46</v>
      </c>
      <c r="D141" s="8"/>
      <c r="E141" s="8"/>
      <c r="F141" s="26">
        <v>0.77800000000000002</v>
      </c>
      <c r="G141" s="18" t="s">
        <v>763</v>
      </c>
      <c r="H141" s="18" t="s">
        <v>764</v>
      </c>
      <c r="I141" s="26" t="s">
        <v>49</v>
      </c>
      <c r="J141" s="18"/>
      <c r="K141" s="26" t="s">
        <v>745</v>
      </c>
      <c r="L141" s="4"/>
      <c r="M141" s="5" t="s">
        <v>746</v>
      </c>
      <c r="N141" s="5" t="s">
        <v>140</v>
      </c>
      <c r="O141" s="14" t="s">
        <v>132</v>
      </c>
      <c r="P141" s="14">
        <v>3</v>
      </c>
      <c r="Q141" s="14"/>
    </row>
    <row r="142" spans="1:17">
      <c r="A142" s="10" t="s">
        <v>813</v>
      </c>
      <c r="B142" s="8" t="s">
        <v>776</v>
      </c>
      <c r="C142" s="8" t="s">
        <v>46</v>
      </c>
      <c r="D142" s="8"/>
      <c r="E142" s="8"/>
      <c r="F142" s="20">
        <v>18</v>
      </c>
      <c r="G142" s="17" t="s">
        <v>270</v>
      </c>
      <c r="H142" s="17">
        <v>160</v>
      </c>
      <c r="I142" s="26" t="s">
        <v>569</v>
      </c>
      <c r="J142" s="17"/>
      <c r="K142" s="33"/>
      <c r="L142" s="21"/>
      <c r="M142" s="5" t="s">
        <v>746</v>
      </c>
      <c r="N142" s="5" t="s">
        <v>71</v>
      </c>
      <c r="O142" s="14" t="s">
        <v>132</v>
      </c>
      <c r="P142" s="14">
        <v>1</v>
      </c>
      <c r="Q142" s="14"/>
    </row>
    <row r="143" spans="1:17">
      <c r="A143" s="10" t="s">
        <v>814</v>
      </c>
      <c r="B143" s="8" t="s">
        <v>776</v>
      </c>
      <c r="C143" s="8" t="s">
        <v>46</v>
      </c>
      <c r="D143" s="8"/>
      <c r="E143" s="8"/>
      <c r="F143" s="8">
        <v>31</v>
      </c>
      <c r="G143" s="17" t="s">
        <v>270</v>
      </c>
      <c r="H143" s="17">
        <v>160</v>
      </c>
      <c r="I143" s="26" t="s">
        <v>569</v>
      </c>
      <c r="J143" s="17"/>
      <c r="K143" s="33"/>
      <c r="L143" s="21"/>
      <c r="M143" s="5" t="s">
        <v>746</v>
      </c>
      <c r="N143" s="5" t="s">
        <v>71</v>
      </c>
      <c r="O143" s="14" t="s">
        <v>132</v>
      </c>
      <c r="P143" s="14">
        <v>1</v>
      </c>
      <c r="Q143" s="14"/>
    </row>
    <row r="144" spans="1:17">
      <c r="A144" s="10" t="s">
        <v>815</v>
      </c>
      <c r="B144" s="8" t="s">
        <v>776</v>
      </c>
      <c r="C144" s="8" t="s">
        <v>46</v>
      </c>
      <c r="D144" s="8"/>
      <c r="E144" s="8"/>
      <c r="F144" s="8">
        <v>13</v>
      </c>
      <c r="G144" s="17" t="s">
        <v>270</v>
      </c>
      <c r="H144" s="17">
        <v>160</v>
      </c>
      <c r="I144" s="26" t="s">
        <v>569</v>
      </c>
      <c r="J144" s="17" t="s">
        <v>816</v>
      </c>
      <c r="K144" s="33"/>
      <c r="L144" s="21"/>
      <c r="M144" s="5" t="s">
        <v>746</v>
      </c>
      <c r="N144" s="5" t="s">
        <v>71</v>
      </c>
      <c r="O144" s="14" t="s">
        <v>132</v>
      </c>
      <c r="P144" s="14">
        <v>1</v>
      </c>
      <c r="Q144" s="14"/>
    </row>
    <row r="145" spans="1:17" ht="24">
      <c r="A145" s="65" t="s">
        <v>817</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c r="Q145" s="9" t="s">
        <v>1194</v>
      </c>
    </row>
    <row r="146" spans="1:17">
      <c r="A146" s="40" t="s">
        <v>818</v>
      </c>
      <c r="B146" s="5"/>
      <c r="C146" s="51" t="s">
        <v>1184</v>
      </c>
      <c r="D146" s="8"/>
      <c r="E146" s="8"/>
      <c r="F146" s="5" t="s">
        <v>819</v>
      </c>
      <c r="G146" s="51" t="s">
        <v>820</v>
      </c>
      <c r="H146" s="51"/>
      <c r="I146" s="51" t="s">
        <v>49</v>
      </c>
      <c r="J146" s="4" t="s">
        <v>821</v>
      </c>
      <c r="K146" s="90"/>
      <c r="L146" s="59"/>
      <c r="M146" s="14" t="s">
        <v>817</v>
      </c>
      <c r="N146" s="5"/>
      <c r="O146" s="2" t="s">
        <v>1188</v>
      </c>
      <c r="P146" s="14"/>
      <c r="Q146" s="14"/>
    </row>
    <row r="147" spans="1:17">
      <c r="A147" s="40" t="s">
        <v>822</v>
      </c>
      <c r="B147" s="5"/>
      <c r="C147" s="51"/>
      <c r="D147" s="8"/>
      <c r="E147" s="8"/>
      <c r="F147" s="5"/>
      <c r="G147" s="51"/>
      <c r="H147" s="4"/>
      <c r="I147" s="51" t="s">
        <v>49</v>
      </c>
      <c r="J147" s="4"/>
      <c r="K147" s="90"/>
      <c r="L147" s="59"/>
      <c r="M147" s="14" t="s">
        <v>817</v>
      </c>
      <c r="N147" s="5"/>
      <c r="O147" s="5" t="s">
        <v>1188</v>
      </c>
      <c r="P147" s="14"/>
      <c r="Q147" s="14"/>
    </row>
    <row r="148" spans="1:17">
      <c r="A148" s="40" t="s">
        <v>250</v>
      </c>
      <c r="B148" s="5"/>
      <c r="C148" s="51" t="s">
        <v>1184</v>
      </c>
      <c r="D148" s="8"/>
      <c r="E148" s="8"/>
      <c r="F148" s="5" t="s">
        <v>823</v>
      </c>
      <c r="G148" s="51" t="s">
        <v>824</v>
      </c>
      <c r="H148" s="51"/>
      <c r="I148" s="51" t="s">
        <v>49</v>
      </c>
      <c r="J148" s="4" t="s">
        <v>1190</v>
      </c>
      <c r="K148" s="90"/>
      <c r="L148" s="59"/>
      <c r="M148" s="14" t="s">
        <v>817</v>
      </c>
      <c r="N148" s="5"/>
      <c r="O148" s="5" t="s">
        <v>1188</v>
      </c>
      <c r="P148" s="14"/>
      <c r="Q148" s="14"/>
    </row>
    <row r="149" spans="1:17">
      <c r="A149" s="40" t="s">
        <v>825</v>
      </c>
      <c r="B149" s="5"/>
      <c r="C149" s="51" t="s">
        <v>1184</v>
      </c>
      <c r="D149" s="8"/>
      <c r="E149" s="8"/>
      <c r="F149" s="5" t="s">
        <v>823</v>
      </c>
      <c r="G149" s="51" t="s">
        <v>824</v>
      </c>
      <c r="H149" s="51"/>
      <c r="I149" s="51" t="s">
        <v>49</v>
      </c>
      <c r="J149" s="4" t="s">
        <v>1191</v>
      </c>
      <c r="K149" s="90"/>
      <c r="L149" s="59"/>
      <c r="M149" s="14" t="s">
        <v>817</v>
      </c>
      <c r="N149" s="5"/>
      <c r="O149" s="5" t="s">
        <v>1188</v>
      </c>
      <c r="P149" s="14"/>
      <c r="Q149" s="14"/>
    </row>
    <row r="150" spans="1:17">
      <c r="A150" s="40" t="s">
        <v>826</v>
      </c>
      <c r="B150" s="5"/>
      <c r="C150" s="51"/>
      <c r="D150" s="8"/>
      <c r="E150" s="8"/>
      <c r="F150" s="5"/>
      <c r="G150" s="51"/>
      <c r="H150" s="4"/>
      <c r="I150" s="51" t="s">
        <v>49</v>
      </c>
      <c r="J150" s="4"/>
      <c r="K150" s="90"/>
      <c r="L150" s="59"/>
      <c r="M150" s="14" t="s">
        <v>817</v>
      </c>
      <c r="N150" s="5"/>
      <c r="O150" s="5" t="s">
        <v>1188</v>
      </c>
      <c r="P150" s="14"/>
      <c r="Q150" s="14"/>
    </row>
    <row r="151" spans="1:17">
      <c r="A151" s="40" t="s">
        <v>827</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817</v>
      </c>
      <c r="N151" s="5"/>
      <c r="O151" s="5" t="s">
        <v>1188</v>
      </c>
      <c r="P151" s="14"/>
      <c r="Q151" s="14"/>
    </row>
    <row r="152" spans="1:17">
      <c r="A152" s="40" t="s">
        <v>828</v>
      </c>
      <c r="B152" s="5"/>
      <c r="C152" s="51" t="s">
        <v>1184</v>
      </c>
      <c r="D152" s="8"/>
      <c r="E152" s="8"/>
      <c r="F152" s="5" t="s">
        <v>823</v>
      </c>
      <c r="G152" s="51" t="s">
        <v>824</v>
      </c>
      <c r="H152" s="51"/>
      <c r="I152" s="51" t="s">
        <v>49</v>
      </c>
      <c r="J152" s="4" t="s">
        <v>1192</v>
      </c>
      <c r="K152" s="90"/>
      <c r="L152" s="59"/>
      <c r="M152" s="14" t="s">
        <v>817</v>
      </c>
      <c r="N152" s="5"/>
      <c r="O152" s="5" t="s">
        <v>1188</v>
      </c>
      <c r="P152" s="14"/>
      <c r="Q152" s="14"/>
    </row>
    <row r="153" spans="1:17">
      <c r="A153" s="40" t="s">
        <v>829</v>
      </c>
      <c r="B153" s="5"/>
      <c r="C153" s="51"/>
      <c r="D153" s="8"/>
      <c r="E153" s="8"/>
      <c r="F153" s="5"/>
      <c r="G153" s="51"/>
      <c r="H153" s="4"/>
      <c r="I153" s="51" t="s">
        <v>49</v>
      </c>
      <c r="J153" s="4"/>
      <c r="K153" s="90"/>
      <c r="L153" s="59"/>
      <c r="M153" s="14" t="s">
        <v>817</v>
      </c>
      <c r="N153" s="5"/>
      <c r="O153" s="5" t="s">
        <v>1188</v>
      </c>
      <c r="P153" s="14"/>
      <c r="Q153" s="14"/>
    </row>
    <row r="154" spans="1:17">
      <c r="A154" s="40" t="s">
        <v>830</v>
      </c>
      <c r="B154" s="5"/>
      <c r="C154" s="51" t="s">
        <v>1184</v>
      </c>
      <c r="D154" s="8"/>
      <c r="E154" s="8"/>
      <c r="F154" s="5" t="s">
        <v>823</v>
      </c>
      <c r="G154" s="51" t="s">
        <v>824</v>
      </c>
      <c r="H154" s="51"/>
      <c r="I154" s="51" t="s">
        <v>49</v>
      </c>
      <c r="J154" s="4" t="s">
        <v>1193</v>
      </c>
      <c r="K154" s="90"/>
      <c r="L154" s="59"/>
      <c r="M154" s="14" t="s">
        <v>817</v>
      </c>
      <c r="N154" s="5"/>
      <c r="O154" s="5" t="s">
        <v>1188</v>
      </c>
      <c r="P154" s="14"/>
      <c r="Q154" s="14"/>
    </row>
    <row r="155" spans="1:17">
      <c r="A155" s="40" t="s">
        <v>831</v>
      </c>
      <c r="B155" s="5"/>
      <c r="C155" s="51"/>
      <c r="D155" s="8"/>
      <c r="E155" s="8"/>
      <c r="F155" s="5"/>
      <c r="G155" s="51"/>
      <c r="H155" s="4"/>
      <c r="I155" s="51" t="s">
        <v>49</v>
      </c>
      <c r="J155" s="4"/>
      <c r="K155" s="90"/>
      <c r="L155" s="59"/>
      <c r="M155" s="14" t="s">
        <v>817</v>
      </c>
      <c r="N155" s="5"/>
      <c r="O155" s="5" t="s">
        <v>1188</v>
      </c>
      <c r="P155" s="14"/>
      <c r="Q155" s="14"/>
    </row>
    <row r="156" spans="1:17">
      <c r="A156" s="40" t="s">
        <v>832</v>
      </c>
      <c r="B156" s="5"/>
      <c r="C156" s="51"/>
      <c r="D156" s="8"/>
      <c r="E156" s="8"/>
      <c r="F156" s="5"/>
      <c r="G156" s="51"/>
      <c r="H156" s="4"/>
      <c r="I156" s="51" t="s">
        <v>49</v>
      </c>
      <c r="J156" s="4"/>
      <c r="K156" s="90"/>
      <c r="L156" s="59"/>
      <c r="M156" s="14" t="s">
        <v>817</v>
      </c>
      <c r="N156" s="5"/>
      <c r="O156" s="5" t="s">
        <v>1188</v>
      </c>
      <c r="P156" s="14"/>
      <c r="Q156" s="14"/>
    </row>
    <row r="157" spans="1:17">
      <c r="A157" s="40" t="s">
        <v>833</v>
      </c>
      <c r="B157" s="5"/>
      <c r="C157" s="51"/>
      <c r="D157" s="8"/>
      <c r="E157" s="8"/>
      <c r="F157" s="5"/>
      <c r="G157" s="51"/>
      <c r="H157" s="4"/>
      <c r="I157" s="51" t="s">
        <v>49</v>
      </c>
      <c r="J157" s="4"/>
      <c r="K157" s="90"/>
      <c r="L157" s="59"/>
      <c r="M157" s="14" t="s">
        <v>817</v>
      </c>
      <c r="N157" s="5"/>
      <c r="O157" s="5" t="s">
        <v>1188</v>
      </c>
      <c r="P157" s="14"/>
      <c r="Q157" s="14"/>
    </row>
  </sheetData>
  <hyperlinks>
    <hyperlink ref="O146" r:id="rId1" xr:uid="{ACEE4951-A805-4DF5-AF77-5EE748E73728}"/>
    <hyperlink ref="O147:O157" r:id="rId2" display="Urinalysis@120s" xr:uid="{FD5A0811-DF6D-4B89-8633-95268597002B}"/>
  </hyperlinks>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6"/>
  <sheetViews>
    <sheetView zoomScaleNormal="100" workbookViewId="0">
      <pane xSplit="1" topLeftCell="B1" activePane="topRight" state="frozen"/>
      <selection pane="topRight"/>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7" width="9.140625" style="64"/>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834</v>
      </c>
      <c r="B2" s="26" t="s">
        <v>835</v>
      </c>
      <c r="C2" s="51" t="s">
        <v>46</v>
      </c>
      <c r="D2" s="51"/>
      <c r="E2" s="51"/>
      <c r="F2" s="6">
        <v>1033.23</v>
      </c>
      <c r="G2" s="17" t="s">
        <v>836</v>
      </c>
      <c r="H2" s="17"/>
      <c r="I2" s="17"/>
      <c r="J2" s="17" t="s">
        <v>837</v>
      </c>
      <c r="K2" s="26"/>
      <c r="L2" s="91"/>
      <c r="M2" s="66" t="s">
        <v>838</v>
      </c>
      <c r="N2" s="5" t="s">
        <v>101</v>
      </c>
      <c r="O2" s="14" t="s">
        <v>52</v>
      </c>
      <c r="P2" s="14">
        <v>4</v>
      </c>
      <c r="Q2" s="14"/>
    </row>
    <row r="3" spans="1:17" ht="36">
      <c r="A3" s="10" t="s">
        <v>839</v>
      </c>
      <c r="B3" s="17" t="s">
        <v>200</v>
      </c>
      <c r="C3" s="51" t="s">
        <v>46</v>
      </c>
      <c r="D3" s="51"/>
      <c r="E3" s="51"/>
      <c r="F3" s="51" t="s">
        <v>840</v>
      </c>
      <c r="G3" s="8" t="s">
        <v>841</v>
      </c>
      <c r="H3" s="17"/>
      <c r="I3" s="17" t="s">
        <v>49</v>
      </c>
      <c r="J3" s="17"/>
      <c r="K3" s="26" t="s">
        <v>842</v>
      </c>
      <c r="L3" s="92"/>
      <c r="M3" s="66" t="s">
        <v>838</v>
      </c>
      <c r="N3" s="5" t="s">
        <v>843</v>
      </c>
      <c r="O3" s="14" t="s">
        <v>52</v>
      </c>
      <c r="P3" s="14">
        <v>4</v>
      </c>
      <c r="Q3" s="14"/>
    </row>
    <row r="4" spans="1:17" ht="36">
      <c r="A4" s="10" t="s">
        <v>844</v>
      </c>
      <c r="B4" s="17" t="s">
        <v>17</v>
      </c>
      <c r="C4" s="51" t="s">
        <v>845</v>
      </c>
      <c r="D4" s="51"/>
      <c r="E4" s="51"/>
      <c r="F4" s="51">
        <v>1.2999999999999999E-2</v>
      </c>
      <c r="G4" s="17" t="s">
        <v>104</v>
      </c>
      <c r="H4" s="17" t="s">
        <v>846</v>
      </c>
      <c r="I4" s="17" t="s">
        <v>49</v>
      </c>
      <c r="J4" s="17" t="s">
        <v>847</v>
      </c>
      <c r="K4" s="26" t="s">
        <v>848</v>
      </c>
      <c r="L4" s="92"/>
      <c r="M4" s="66" t="s">
        <v>838</v>
      </c>
      <c r="N4" s="5" t="s">
        <v>101</v>
      </c>
      <c r="O4" s="14" t="s">
        <v>52</v>
      </c>
      <c r="P4" s="14">
        <v>4</v>
      </c>
      <c r="Q4" s="14"/>
    </row>
    <row r="5" spans="1:17">
      <c r="A5" s="10" t="s">
        <v>849</v>
      </c>
      <c r="B5" s="17" t="s">
        <v>17</v>
      </c>
      <c r="C5" s="51" t="s">
        <v>845</v>
      </c>
      <c r="D5" s="51"/>
      <c r="E5" s="51"/>
      <c r="F5" s="51">
        <v>2</v>
      </c>
      <c r="G5" s="17" t="s">
        <v>104</v>
      </c>
      <c r="H5" s="17" t="s">
        <v>850</v>
      </c>
      <c r="I5" s="17" t="s">
        <v>49</v>
      </c>
      <c r="J5" s="17" t="s">
        <v>851</v>
      </c>
      <c r="K5" s="26"/>
      <c r="L5" s="92"/>
      <c r="M5" s="66" t="s">
        <v>838</v>
      </c>
      <c r="N5" s="5" t="s">
        <v>101</v>
      </c>
      <c r="O5" s="14" t="s">
        <v>52</v>
      </c>
      <c r="P5" s="14">
        <v>4</v>
      </c>
      <c r="Q5" s="14"/>
    </row>
    <row r="6" spans="1:17">
      <c r="A6" s="10" t="s">
        <v>852</v>
      </c>
      <c r="B6" s="17" t="s">
        <v>853</v>
      </c>
      <c r="C6" s="51" t="s">
        <v>46</v>
      </c>
      <c r="D6" s="51"/>
      <c r="E6" s="51"/>
      <c r="F6" s="93">
        <v>0.2</v>
      </c>
      <c r="G6" s="17" t="s">
        <v>104</v>
      </c>
      <c r="H6" s="17" t="s">
        <v>854</v>
      </c>
      <c r="I6" s="17" t="s">
        <v>49</v>
      </c>
      <c r="J6" s="17"/>
      <c r="K6" s="26"/>
      <c r="L6" s="91"/>
      <c r="M6" s="66" t="s">
        <v>838</v>
      </c>
      <c r="N6" s="5" t="s">
        <v>101</v>
      </c>
      <c r="O6" s="14" t="s">
        <v>52</v>
      </c>
      <c r="P6" s="14">
        <v>4</v>
      </c>
      <c r="Q6" s="14"/>
    </row>
    <row r="7" spans="1:17">
      <c r="A7" s="48" t="s">
        <v>855</v>
      </c>
      <c r="B7" s="17" t="s">
        <v>856</v>
      </c>
      <c r="C7" s="51"/>
      <c r="D7" s="51"/>
      <c r="E7" s="51"/>
      <c r="F7" s="51"/>
      <c r="G7" s="17"/>
      <c r="H7" s="17"/>
      <c r="I7" s="17"/>
      <c r="J7" s="17"/>
      <c r="K7" s="26"/>
      <c r="L7" s="91"/>
      <c r="M7" s="66" t="s">
        <v>838</v>
      </c>
      <c r="N7" s="5" t="s">
        <v>101</v>
      </c>
      <c r="O7" s="14" t="s">
        <v>52</v>
      </c>
      <c r="P7" s="14">
        <v>4</v>
      </c>
      <c r="Q7" s="14"/>
    </row>
    <row r="8" spans="1:17">
      <c r="A8" s="48" t="s">
        <v>857</v>
      </c>
      <c r="B8" s="17"/>
      <c r="C8" s="20"/>
      <c r="D8" s="20"/>
      <c r="E8" s="20"/>
      <c r="F8" s="51"/>
      <c r="G8" s="17"/>
      <c r="H8" s="17"/>
      <c r="I8" s="17"/>
      <c r="J8" s="17"/>
      <c r="K8" s="26"/>
      <c r="L8" s="92"/>
      <c r="M8" s="66" t="s">
        <v>838</v>
      </c>
      <c r="N8" s="5" t="s">
        <v>843</v>
      </c>
      <c r="O8" s="14" t="s">
        <v>52</v>
      </c>
      <c r="P8" s="14">
        <v>4</v>
      </c>
      <c r="Q8" s="14"/>
    </row>
    <row r="9" spans="1:17">
      <c r="A9" s="10" t="s">
        <v>858</v>
      </c>
      <c r="B9" s="17" t="s">
        <v>200</v>
      </c>
      <c r="C9" s="20" t="s">
        <v>46</v>
      </c>
      <c r="D9" s="20"/>
      <c r="E9" s="20"/>
      <c r="F9" s="51" t="s">
        <v>859</v>
      </c>
      <c r="G9" s="17" t="s">
        <v>104</v>
      </c>
      <c r="H9" s="17" t="s">
        <v>860</v>
      </c>
      <c r="I9" s="17" t="s">
        <v>49</v>
      </c>
      <c r="J9" s="17"/>
      <c r="K9" s="26"/>
      <c r="L9" s="92"/>
      <c r="M9" s="66" t="s">
        <v>838</v>
      </c>
      <c r="N9" s="5" t="s">
        <v>101</v>
      </c>
      <c r="O9" s="14" t="s">
        <v>52</v>
      </c>
      <c r="P9" s="14">
        <v>4</v>
      </c>
      <c r="Q9" s="14"/>
    </row>
    <row r="10" spans="1:17">
      <c r="A10" s="48" t="s">
        <v>861</v>
      </c>
      <c r="B10" s="17"/>
      <c r="C10" s="51"/>
      <c r="D10" s="51"/>
      <c r="E10" s="51"/>
      <c r="F10" s="51"/>
      <c r="G10" s="17"/>
      <c r="H10" s="17"/>
      <c r="I10" s="17"/>
      <c r="J10" s="17"/>
      <c r="K10" s="26"/>
      <c r="L10" s="92"/>
      <c r="M10" s="66" t="s">
        <v>838</v>
      </c>
      <c r="N10" s="5" t="s">
        <v>101</v>
      </c>
      <c r="O10" s="14" t="s">
        <v>52</v>
      </c>
      <c r="P10" s="14">
        <v>4</v>
      </c>
      <c r="Q10" s="14"/>
    </row>
    <row r="11" spans="1:17">
      <c r="A11" s="48" t="s">
        <v>862</v>
      </c>
      <c r="B11" s="17"/>
      <c r="C11" s="51"/>
      <c r="D11" s="51"/>
      <c r="E11" s="51"/>
      <c r="F11" s="51"/>
      <c r="G11" s="17"/>
      <c r="H11" s="17"/>
      <c r="I11" s="17"/>
      <c r="J11" s="17"/>
      <c r="K11" s="26"/>
      <c r="L11" s="92"/>
      <c r="M11" s="66" t="s">
        <v>838</v>
      </c>
      <c r="N11" s="5" t="s">
        <v>101</v>
      </c>
      <c r="O11" s="14" t="s">
        <v>52</v>
      </c>
      <c r="P11" s="14">
        <v>4</v>
      </c>
      <c r="Q11" s="14"/>
    </row>
    <row r="12" spans="1:17">
      <c r="A12" s="10" t="s">
        <v>1177</v>
      </c>
      <c r="B12" s="18" t="s">
        <v>835</v>
      </c>
      <c r="C12" s="20" t="s">
        <v>379</v>
      </c>
      <c r="D12" s="20"/>
      <c r="E12" s="20"/>
      <c r="F12" s="98">
        <v>0</v>
      </c>
      <c r="G12" s="17" t="s">
        <v>15</v>
      </c>
      <c r="H12" s="8"/>
      <c r="I12" s="17" t="s">
        <v>49</v>
      </c>
      <c r="J12" s="17"/>
      <c r="K12" s="26"/>
      <c r="L12" s="91"/>
      <c r="M12" s="66" t="s">
        <v>838</v>
      </c>
      <c r="N12" s="5" t="s">
        <v>101</v>
      </c>
      <c r="O12" s="14" t="s">
        <v>52</v>
      </c>
      <c r="P12" s="14">
        <v>4</v>
      </c>
      <c r="Q12" s="14"/>
    </row>
    <row r="13" spans="1:17" ht="15.75" customHeight="1">
      <c r="A13" s="10" t="s">
        <v>863</v>
      </c>
      <c r="B13" s="18" t="s">
        <v>864</v>
      </c>
      <c r="C13" s="20" t="s">
        <v>382</v>
      </c>
      <c r="D13" s="20"/>
      <c r="E13" s="20"/>
      <c r="F13" s="94">
        <v>0.44</v>
      </c>
      <c r="G13" s="17" t="s">
        <v>865</v>
      </c>
      <c r="H13" s="8" t="s">
        <v>866</v>
      </c>
      <c r="I13" s="17" t="s">
        <v>49</v>
      </c>
      <c r="J13" s="17"/>
      <c r="K13" s="26"/>
      <c r="L13" s="91"/>
      <c r="M13" s="66" t="s">
        <v>838</v>
      </c>
      <c r="N13" s="5" t="s">
        <v>101</v>
      </c>
      <c r="O13" s="14" t="s">
        <v>52</v>
      </c>
      <c r="P13" s="14">
        <v>4</v>
      </c>
      <c r="Q13" s="14"/>
    </row>
    <row r="14" spans="1:17">
      <c r="A14" s="10" t="s">
        <v>1172</v>
      </c>
      <c r="B14" s="17" t="s">
        <v>867</v>
      </c>
      <c r="C14" s="51" t="s">
        <v>46</v>
      </c>
      <c r="D14" s="51"/>
      <c r="E14" s="51"/>
      <c r="F14" s="51" t="s">
        <v>868</v>
      </c>
      <c r="G14" s="17" t="s">
        <v>836</v>
      </c>
      <c r="H14" s="17" t="s">
        <v>869</v>
      </c>
      <c r="I14" s="17" t="s">
        <v>49</v>
      </c>
      <c r="J14" s="17"/>
      <c r="K14" s="26"/>
      <c r="L14" s="95"/>
      <c r="M14" s="66" t="s">
        <v>838</v>
      </c>
      <c r="N14" s="5" t="s">
        <v>101</v>
      </c>
      <c r="O14" s="14" t="s">
        <v>52</v>
      </c>
      <c r="P14" s="14">
        <v>4</v>
      </c>
      <c r="Q14" s="14"/>
    </row>
    <row r="15" spans="1:17">
      <c r="A15" s="10" t="s">
        <v>870</v>
      </c>
      <c r="B15" s="17" t="s">
        <v>17</v>
      </c>
      <c r="C15" s="51" t="s">
        <v>845</v>
      </c>
      <c r="D15" s="51"/>
      <c r="E15" s="51"/>
      <c r="F15" s="51">
        <v>7</v>
      </c>
      <c r="G15" s="17" t="s">
        <v>104</v>
      </c>
      <c r="H15" s="8" t="s">
        <v>871</v>
      </c>
      <c r="I15" s="17" t="s">
        <v>49</v>
      </c>
      <c r="J15" s="17"/>
      <c r="K15" s="26"/>
      <c r="L15" s="91"/>
      <c r="M15" s="66" t="s">
        <v>838</v>
      </c>
      <c r="N15" s="5" t="s">
        <v>843</v>
      </c>
      <c r="O15" s="14" t="s">
        <v>52</v>
      </c>
      <c r="P15" s="14">
        <v>4</v>
      </c>
      <c r="Q15" s="14"/>
    </row>
    <row r="16" spans="1:17">
      <c r="A16" s="10" t="s">
        <v>872</v>
      </c>
      <c r="B16" s="17"/>
      <c r="C16" s="51" t="s">
        <v>46</v>
      </c>
      <c r="D16" s="51"/>
      <c r="E16" s="51"/>
      <c r="F16" s="51">
        <v>0.21</v>
      </c>
      <c r="G16" s="17" t="s">
        <v>15</v>
      </c>
      <c r="H16" s="17"/>
      <c r="I16" s="17" t="s">
        <v>49</v>
      </c>
      <c r="J16" s="17"/>
      <c r="K16" s="26"/>
      <c r="L16" s="95"/>
      <c r="M16" s="66" t="s">
        <v>838</v>
      </c>
      <c r="N16" s="5" t="s">
        <v>101</v>
      </c>
      <c r="O16" s="14" t="s">
        <v>52</v>
      </c>
      <c r="P16" s="14">
        <v>4</v>
      </c>
      <c r="Q16" s="14"/>
    </row>
    <row r="17" spans="1:17">
      <c r="A17" s="10" t="s">
        <v>873</v>
      </c>
      <c r="B17" s="17" t="s">
        <v>200</v>
      </c>
      <c r="C17" s="51" t="s">
        <v>46</v>
      </c>
      <c r="D17" s="51"/>
      <c r="E17" s="51"/>
      <c r="F17" s="51">
        <v>452</v>
      </c>
      <c r="G17" s="8" t="s">
        <v>15</v>
      </c>
      <c r="H17" s="17" t="s">
        <v>874</v>
      </c>
      <c r="I17" s="17" t="s">
        <v>49</v>
      </c>
      <c r="J17" s="17" t="s">
        <v>875</v>
      </c>
      <c r="K17" s="26"/>
      <c r="L17" s="92"/>
      <c r="M17" s="66" t="s">
        <v>838</v>
      </c>
      <c r="N17" s="5" t="s">
        <v>101</v>
      </c>
      <c r="O17" s="14" t="s">
        <v>52</v>
      </c>
      <c r="P17" s="14">
        <v>4</v>
      </c>
      <c r="Q17" s="14"/>
    </row>
    <row r="18" spans="1:17">
      <c r="A18" s="48" t="s">
        <v>876</v>
      </c>
      <c r="B18" s="17" t="s">
        <v>877</v>
      </c>
      <c r="C18" s="51"/>
      <c r="D18" s="51"/>
      <c r="E18" s="51"/>
      <c r="F18" s="51"/>
      <c r="G18" s="17"/>
      <c r="H18" s="17"/>
      <c r="I18" s="17"/>
      <c r="J18" s="17"/>
      <c r="K18" s="26"/>
      <c r="L18" s="91"/>
      <c r="M18" s="66" t="s">
        <v>838</v>
      </c>
      <c r="N18" s="5" t="s">
        <v>101</v>
      </c>
      <c r="O18" s="14" t="s">
        <v>52</v>
      </c>
      <c r="P18" s="14">
        <v>4</v>
      </c>
      <c r="Q18" s="14"/>
    </row>
    <row r="19" spans="1:17">
      <c r="A19" s="48" t="s">
        <v>878</v>
      </c>
      <c r="B19" s="17" t="s">
        <v>856</v>
      </c>
      <c r="C19" s="51"/>
      <c r="D19" s="51"/>
      <c r="E19" s="51"/>
      <c r="F19" s="51"/>
      <c r="G19" s="17"/>
      <c r="H19" s="17"/>
      <c r="I19" s="17"/>
      <c r="J19" s="17"/>
      <c r="K19" s="26"/>
      <c r="L19" s="91"/>
      <c r="M19" s="66" t="s">
        <v>838</v>
      </c>
      <c r="N19" s="5" t="s">
        <v>101</v>
      </c>
      <c r="O19" s="14" t="s">
        <v>52</v>
      </c>
      <c r="P19" s="14">
        <v>4</v>
      </c>
      <c r="Q19" s="14"/>
    </row>
    <row r="20" spans="1:17">
      <c r="A20" s="10" t="s">
        <v>879</v>
      </c>
      <c r="B20" s="17"/>
      <c r="C20" s="51" t="s">
        <v>46</v>
      </c>
      <c r="D20" s="51"/>
      <c r="E20" s="51"/>
      <c r="F20" s="51" t="s">
        <v>880</v>
      </c>
      <c r="G20" s="17" t="s">
        <v>104</v>
      </c>
      <c r="H20" s="17" t="s">
        <v>881</v>
      </c>
      <c r="I20" s="17" t="s">
        <v>49</v>
      </c>
      <c r="J20" s="17"/>
      <c r="K20" s="26" t="s">
        <v>882</v>
      </c>
      <c r="L20" s="95"/>
      <c r="M20" s="66" t="s">
        <v>838</v>
      </c>
      <c r="N20" s="5" t="s">
        <v>101</v>
      </c>
      <c r="O20" s="14" t="s">
        <v>52</v>
      </c>
      <c r="P20" s="14">
        <v>4</v>
      </c>
      <c r="Q20" s="14"/>
    </row>
    <row r="21" spans="1:17">
      <c r="A21" s="10" t="s">
        <v>883</v>
      </c>
      <c r="B21" s="18" t="s">
        <v>864</v>
      </c>
      <c r="C21" s="20" t="s">
        <v>382</v>
      </c>
      <c r="D21" s="20"/>
      <c r="E21" s="20"/>
      <c r="F21" s="96">
        <v>0.4</v>
      </c>
      <c r="G21" s="17" t="s">
        <v>865</v>
      </c>
      <c r="H21" s="8" t="s">
        <v>866</v>
      </c>
      <c r="I21" s="17" t="s">
        <v>569</v>
      </c>
      <c r="J21" s="17"/>
      <c r="K21" s="26"/>
      <c r="L21" s="91"/>
      <c r="M21" s="66" t="s">
        <v>838</v>
      </c>
      <c r="N21" s="5" t="s">
        <v>101</v>
      </c>
      <c r="O21" s="14" t="s">
        <v>52</v>
      </c>
      <c r="P21" s="14">
        <v>4</v>
      </c>
      <c r="Q21" s="14"/>
    </row>
    <row r="22" spans="1:17">
      <c r="A22" s="10" t="s">
        <v>1173</v>
      </c>
      <c r="B22" s="17" t="s">
        <v>867</v>
      </c>
      <c r="C22" s="51" t="s">
        <v>46</v>
      </c>
      <c r="D22" s="51"/>
      <c r="E22" s="51"/>
      <c r="F22" s="51" t="s">
        <v>868</v>
      </c>
      <c r="G22" s="17" t="s">
        <v>836</v>
      </c>
      <c r="H22" s="17" t="s">
        <v>869</v>
      </c>
      <c r="I22" s="17" t="s">
        <v>49</v>
      </c>
      <c r="J22" s="17"/>
      <c r="K22" s="26"/>
      <c r="L22" s="95"/>
      <c r="M22" s="66" t="s">
        <v>838</v>
      </c>
      <c r="N22" s="5" t="s">
        <v>101</v>
      </c>
      <c r="O22" s="14" t="s">
        <v>52</v>
      </c>
      <c r="P22" s="14">
        <v>4</v>
      </c>
      <c r="Q22" s="14"/>
    </row>
    <row r="23" spans="1:17">
      <c r="A23" s="10" t="s">
        <v>884</v>
      </c>
      <c r="B23" s="17" t="s">
        <v>17</v>
      </c>
      <c r="C23" s="51" t="s">
        <v>845</v>
      </c>
      <c r="D23" s="51"/>
      <c r="E23" s="51"/>
      <c r="F23" s="51">
        <v>7</v>
      </c>
      <c r="G23" s="17" t="s">
        <v>104</v>
      </c>
      <c r="H23" s="8" t="s">
        <v>871</v>
      </c>
      <c r="I23" s="17" t="s">
        <v>49</v>
      </c>
      <c r="J23" s="17"/>
      <c r="K23" s="26"/>
      <c r="L23" s="91"/>
      <c r="M23" s="66" t="s">
        <v>838</v>
      </c>
      <c r="N23" s="5" t="s">
        <v>843</v>
      </c>
      <c r="O23" s="14" t="s">
        <v>52</v>
      </c>
      <c r="P23" s="14">
        <v>4</v>
      </c>
      <c r="Q23" s="14"/>
    </row>
    <row r="24" spans="1:17">
      <c r="A24" s="10" t="s">
        <v>885</v>
      </c>
      <c r="B24" s="18" t="s">
        <v>835</v>
      </c>
      <c r="C24" s="20" t="s">
        <v>379</v>
      </c>
      <c r="D24" s="20"/>
      <c r="E24" s="20"/>
      <c r="F24" s="97">
        <v>-8</v>
      </c>
      <c r="G24" s="17" t="s">
        <v>104</v>
      </c>
      <c r="H24" s="8" t="s">
        <v>886</v>
      </c>
      <c r="I24" s="17" t="s">
        <v>569</v>
      </c>
      <c r="J24" s="17"/>
      <c r="K24" s="26"/>
      <c r="L24" s="91"/>
      <c r="M24" s="66" t="s">
        <v>838</v>
      </c>
      <c r="N24" s="5" t="s">
        <v>101</v>
      </c>
      <c r="O24" s="14" t="s">
        <v>52</v>
      </c>
      <c r="P24" s="14">
        <v>4</v>
      </c>
      <c r="Q24" s="14"/>
    </row>
    <row r="25" spans="1:17">
      <c r="A25" s="10" t="s">
        <v>885</v>
      </c>
      <c r="B25" s="18" t="s">
        <v>835</v>
      </c>
      <c r="C25" s="20" t="s">
        <v>382</v>
      </c>
      <c r="D25" s="20"/>
      <c r="E25" s="20"/>
      <c r="F25" s="97">
        <v>-5</v>
      </c>
      <c r="G25" s="17" t="s">
        <v>104</v>
      </c>
      <c r="H25" s="8" t="s">
        <v>886</v>
      </c>
      <c r="I25" s="17" t="s">
        <v>569</v>
      </c>
      <c r="J25" s="17"/>
      <c r="K25" s="26"/>
      <c r="L25" s="91"/>
      <c r="M25" s="66" t="s">
        <v>838</v>
      </c>
      <c r="N25" s="5" t="s">
        <v>101</v>
      </c>
      <c r="O25" s="14" t="s">
        <v>52</v>
      </c>
      <c r="P25" s="14">
        <v>4</v>
      </c>
      <c r="Q25" s="14"/>
    </row>
    <row r="26" spans="1:17">
      <c r="A26" s="10" t="s">
        <v>887</v>
      </c>
      <c r="B26" s="18" t="s">
        <v>835</v>
      </c>
      <c r="C26" s="20" t="s">
        <v>382</v>
      </c>
      <c r="D26" s="20"/>
      <c r="E26" s="20"/>
      <c r="F26" s="98">
        <v>5.4</v>
      </c>
      <c r="G26" s="17" t="s">
        <v>15</v>
      </c>
      <c r="H26" s="8"/>
      <c r="I26" s="17" t="s">
        <v>569</v>
      </c>
      <c r="J26" s="17"/>
      <c r="K26" s="26" t="s">
        <v>888</v>
      </c>
      <c r="L26" s="91"/>
      <c r="M26" s="66" t="s">
        <v>838</v>
      </c>
      <c r="N26" s="5" t="s">
        <v>101</v>
      </c>
      <c r="O26" s="14" t="s">
        <v>52</v>
      </c>
      <c r="P26" s="14">
        <v>4</v>
      </c>
      <c r="Q26" s="14"/>
    </row>
    <row r="27" spans="1:17">
      <c r="A27" s="10" t="s">
        <v>887</v>
      </c>
      <c r="B27" s="18" t="s">
        <v>835</v>
      </c>
      <c r="C27" s="20" t="s">
        <v>379</v>
      </c>
      <c r="D27" s="20"/>
      <c r="E27" s="20"/>
      <c r="F27" s="98">
        <v>0</v>
      </c>
      <c r="G27" s="17" t="s">
        <v>15</v>
      </c>
      <c r="H27" s="8"/>
      <c r="I27" s="17" t="s">
        <v>49</v>
      </c>
      <c r="J27" s="17"/>
      <c r="K27" s="26"/>
      <c r="L27" s="91"/>
      <c r="M27" s="66" t="s">
        <v>838</v>
      </c>
      <c r="N27" s="5" t="s">
        <v>101</v>
      </c>
      <c r="O27" s="14" t="s">
        <v>52</v>
      </c>
      <c r="P27" s="14">
        <v>4</v>
      </c>
      <c r="Q27" s="14"/>
    </row>
    <row r="28" spans="1:17">
      <c r="A28" s="10" t="s">
        <v>1174</v>
      </c>
      <c r="B28" s="18" t="s">
        <v>835</v>
      </c>
      <c r="C28" s="20" t="s">
        <v>379</v>
      </c>
      <c r="D28" s="20"/>
      <c r="E28" s="20"/>
      <c r="F28" s="98">
        <v>0</v>
      </c>
      <c r="G28" s="17" t="s">
        <v>15</v>
      </c>
      <c r="H28" s="8"/>
      <c r="I28" s="17" t="s">
        <v>49</v>
      </c>
      <c r="J28" s="17"/>
      <c r="K28" s="26"/>
      <c r="L28" s="91"/>
      <c r="M28" s="66" t="s">
        <v>838</v>
      </c>
      <c r="N28" s="5" t="s">
        <v>101</v>
      </c>
      <c r="O28" s="14" t="s">
        <v>52</v>
      </c>
      <c r="P28" s="14">
        <v>4</v>
      </c>
      <c r="Q28" s="14"/>
    </row>
    <row r="29" spans="1:17">
      <c r="A29" s="10" t="s">
        <v>889</v>
      </c>
      <c r="B29" s="17" t="s">
        <v>853</v>
      </c>
      <c r="C29" s="51" t="s">
        <v>46</v>
      </c>
      <c r="D29" s="51"/>
      <c r="E29" s="51"/>
      <c r="F29" s="93">
        <v>0.2</v>
      </c>
      <c r="G29" s="17" t="s">
        <v>104</v>
      </c>
      <c r="H29" s="17" t="s">
        <v>854</v>
      </c>
      <c r="I29" s="17" t="s">
        <v>49</v>
      </c>
      <c r="J29" s="17"/>
      <c r="K29" s="26"/>
      <c r="L29" s="91"/>
      <c r="M29" s="66" t="s">
        <v>838</v>
      </c>
      <c r="N29" s="5" t="s">
        <v>101</v>
      </c>
      <c r="O29" s="14" t="s">
        <v>52</v>
      </c>
      <c r="P29" s="14">
        <v>4</v>
      </c>
      <c r="Q29" s="14"/>
    </row>
    <row r="30" spans="1:17" ht="60">
      <c r="A30" s="10" t="s">
        <v>890</v>
      </c>
      <c r="B30" s="26" t="s">
        <v>835</v>
      </c>
      <c r="C30" s="51" t="s">
        <v>46</v>
      </c>
      <c r="D30" s="51"/>
      <c r="E30" s="51"/>
      <c r="F30" s="6">
        <v>-1</v>
      </c>
      <c r="G30" s="17" t="s">
        <v>104</v>
      </c>
      <c r="H30" s="17" t="s">
        <v>891</v>
      </c>
      <c r="I30" s="17" t="s">
        <v>569</v>
      </c>
      <c r="J30" s="17"/>
      <c r="K30" s="26" t="s">
        <v>892</v>
      </c>
      <c r="L30" s="91"/>
      <c r="M30" s="66" t="s">
        <v>838</v>
      </c>
      <c r="N30" s="5" t="s">
        <v>101</v>
      </c>
      <c r="O30" s="14" t="s">
        <v>52</v>
      </c>
      <c r="P30" s="14">
        <v>4</v>
      </c>
      <c r="Q30" s="14"/>
    </row>
    <row r="31" spans="1:17">
      <c r="A31" s="10" t="s">
        <v>893</v>
      </c>
      <c r="B31" s="26" t="s">
        <v>835</v>
      </c>
      <c r="C31" s="51" t="s">
        <v>46</v>
      </c>
      <c r="D31" s="51"/>
      <c r="E31" s="51"/>
      <c r="F31" s="6">
        <v>0</v>
      </c>
      <c r="G31" s="17" t="s">
        <v>836</v>
      </c>
      <c r="H31" s="17"/>
      <c r="I31" s="17" t="s">
        <v>49</v>
      </c>
      <c r="J31" s="17"/>
      <c r="K31" s="26"/>
      <c r="L31" s="91"/>
      <c r="M31" s="66" t="s">
        <v>838</v>
      </c>
      <c r="N31" s="5" t="s">
        <v>101</v>
      </c>
      <c r="O31" s="14" t="s">
        <v>52</v>
      </c>
      <c r="P31" s="14">
        <v>4</v>
      </c>
      <c r="Q31" s="14"/>
    </row>
    <row r="32" spans="1:17">
      <c r="A32" s="10" t="s">
        <v>894</v>
      </c>
      <c r="B32" s="26"/>
      <c r="C32" s="51" t="s">
        <v>46</v>
      </c>
      <c r="D32" s="51"/>
      <c r="E32" s="51"/>
      <c r="F32" s="6">
        <v>0</v>
      </c>
      <c r="G32" s="17" t="s">
        <v>836</v>
      </c>
      <c r="H32" s="17"/>
      <c r="I32" s="17" t="s">
        <v>49</v>
      </c>
      <c r="J32" s="17" t="s">
        <v>895</v>
      </c>
      <c r="K32" s="26"/>
      <c r="L32" s="91"/>
      <c r="M32" s="66" t="s">
        <v>838</v>
      </c>
      <c r="N32" s="5" t="s">
        <v>101</v>
      </c>
      <c r="O32" s="14" t="s">
        <v>52</v>
      </c>
      <c r="P32" s="14">
        <v>4</v>
      </c>
      <c r="Q32" s="14"/>
    </row>
    <row r="33" spans="1:17">
      <c r="A33" s="10" t="s">
        <v>896</v>
      </c>
      <c r="B33" s="26" t="s">
        <v>200</v>
      </c>
      <c r="C33" s="51" t="s">
        <v>46</v>
      </c>
      <c r="D33" s="51"/>
      <c r="E33" s="51"/>
      <c r="F33" s="6">
        <v>0</v>
      </c>
      <c r="G33" s="17" t="s">
        <v>836</v>
      </c>
      <c r="H33" s="17"/>
      <c r="I33" s="17" t="s">
        <v>49</v>
      </c>
      <c r="J33" s="17" t="s">
        <v>897</v>
      </c>
      <c r="K33" s="26"/>
      <c r="L33" s="91"/>
      <c r="M33" s="66" t="s">
        <v>838</v>
      </c>
      <c r="N33" s="5" t="s">
        <v>101</v>
      </c>
      <c r="O33" s="14" t="s">
        <v>52</v>
      </c>
      <c r="P33" s="14">
        <v>4</v>
      </c>
      <c r="Q33" s="14"/>
    </row>
    <row r="34" spans="1:17">
      <c r="A34" s="48" t="s">
        <v>898</v>
      </c>
      <c r="B34" s="17" t="s">
        <v>877</v>
      </c>
      <c r="C34" s="51"/>
      <c r="D34" s="51"/>
      <c r="E34" s="51"/>
      <c r="F34" s="51"/>
      <c r="G34" s="17"/>
      <c r="H34" s="17"/>
      <c r="I34" s="17"/>
      <c r="J34" s="17"/>
      <c r="K34" s="26"/>
      <c r="L34" s="91"/>
      <c r="M34" s="66" t="s">
        <v>838</v>
      </c>
      <c r="N34" s="5" t="s">
        <v>101</v>
      </c>
      <c r="O34" s="14" t="s">
        <v>52</v>
      </c>
      <c r="P34" s="14">
        <v>4</v>
      </c>
      <c r="Q34" s="14"/>
    </row>
    <row r="35" spans="1:17">
      <c r="A35" s="48" t="s">
        <v>899</v>
      </c>
      <c r="B35" s="17" t="s">
        <v>856</v>
      </c>
      <c r="C35" s="51"/>
      <c r="D35" s="51"/>
      <c r="E35" s="51"/>
      <c r="F35" s="51"/>
      <c r="G35" s="17"/>
      <c r="H35" s="17"/>
      <c r="I35" s="17"/>
      <c r="J35" s="17"/>
      <c r="K35" s="26"/>
      <c r="L35" s="91"/>
      <c r="M35" s="66" t="s">
        <v>838</v>
      </c>
      <c r="N35" s="5" t="s">
        <v>101</v>
      </c>
      <c r="O35" s="14" t="s">
        <v>52</v>
      </c>
      <c r="P35" s="14">
        <v>4</v>
      </c>
      <c r="Q35" s="14"/>
    </row>
    <row r="36" spans="1:17" ht="24">
      <c r="A36" s="10" t="s">
        <v>900</v>
      </c>
      <c r="B36" s="26" t="s">
        <v>835</v>
      </c>
      <c r="C36" s="51" t="s">
        <v>46</v>
      </c>
      <c r="D36" s="51"/>
      <c r="E36" s="51"/>
      <c r="F36" s="6">
        <v>1</v>
      </c>
      <c r="G36" s="17" t="s">
        <v>104</v>
      </c>
      <c r="H36" s="17"/>
      <c r="I36" s="17" t="s">
        <v>569</v>
      </c>
      <c r="J36" s="17"/>
      <c r="K36" s="26" t="s">
        <v>901</v>
      </c>
      <c r="L36" s="91"/>
      <c r="M36" s="66" t="s">
        <v>838</v>
      </c>
      <c r="N36" s="5" t="s">
        <v>101</v>
      </c>
      <c r="O36" s="14" t="s">
        <v>52</v>
      </c>
      <c r="P36" s="14">
        <v>4</v>
      </c>
      <c r="Q36" s="14"/>
    </row>
    <row r="37" spans="1:17" ht="15.75" customHeight="1">
      <c r="A37" s="10" t="s">
        <v>902</v>
      </c>
      <c r="B37" s="26" t="s">
        <v>17</v>
      </c>
      <c r="C37" s="51" t="s">
        <v>845</v>
      </c>
      <c r="D37" s="51"/>
      <c r="E37" s="51"/>
      <c r="F37" s="5">
        <v>2</v>
      </c>
      <c r="G37" s="17" t="s">
        <v>104</v>
      </c>
      <c r="H37" s="8" t="s">
        <v>871</v>
      </c>
      <c r="I37" s="17" t="s">
        <v>49</v>
      </c>
      <c r="J37" s="17"/>
      <c r="K37" s="26"/>
      <c r="L37" s="91"/>
      <c r="M37" s="66" t="s">
        <v>838</v>
      </c>
      <c r="N37" s="5" t="s">
        <v>101</v>
      </c>
      <c r="O37" s="14" t="s">
        <v>52</v>
      </c>
      <c r="P37" s="14">
        <v>4</v>
      </c>
      <c r="Q37" s="14"/>
    </row>
    <row r="38" spans="1:17">
      <c r="A38" s="10" t="s">
        <v>903</v>
      </c>
      <c r="B38" s="18"/>
      <c r="C38" s="51" t="s">
        <v>46</v>
      </c>
      <c r="D38" s="20"/>
      <c r="E38" s="20"/>
      <c r="F38" s="51" t="s">
        <v>904</v>
      </c>
      <c r="G38" s="17" t="s">
        <v>905</v>
      </c>
      <c r="H38" s="17"/>
      <c r="I38" s="17" t="s">
        <v>49</v>
      </c>
      <c r="J38" s="17"/>
      <c r="K38" s="26"/>
      <c r="L38" s="91"/>
      <c r="M38" s="66" t="s">
        <v>838</v>
      </c>
      <c r="N38" s="5" t="s">
        <v>101</v>
      </c>
      <c r="O38" s="14" t="s">
        <v>52</v>
      </c>
      <c r="P38" s="14">
        <v>4</v>
      </c>
      <c r="Q38" s="14"/>
    </row>
    <row r="39" spans="1:17" ht="96">
      <c r="A39" s="10" t="s">
        <v>1175</v>
      </c>
      <c r="B39" s="17" t="s">
        <v>853</v>
      </c>
      <c r="C39" s="51" t="s">
        <v>46</v>
      </c>
      <c r="D39" s="51"/>
      <c r="E39" s="51"/>
      <c r="F39" s="17" t="s">
        <v>907</v>
      </c>
      <c r="G39" s="17" t="s">
        <v>104</v>
      </c>
      <c r="H39" s="17" t="s">
        <v>908</v>
      </c>
      <c r="I39" s="17" t="s">
        <v>49</v>
      </c>
      <c r="J39" s="17"/>
      <c r="K39" s="26" t="s">
        <v>909</v>
      </c>
      <c r="L39" s="95"/>
      <c r="M39" s="66" t="s">
        <v>838</v>
      </c>
      <c r="N39" s="5" t="s">
        <v>101</v>
      </c>
      <c r="O39" s="14" t="s">
        <v>52</v>
      </c>
      <c r="P39" s="14">
        <v>4</v>
      </c>
      <c r="Q39" s="14"/>
    </row>
    <row r="40" spans="1:17">
      <c r="A40" s="10" t="s">
        <v>1176</v>
      </c>
      <c r="B40" s="17" t="s">
        <v>910</v>
      </c>
      <c r="C40" s="51" t="s">
        <v>46</v>
      </c>
      <c r="D40" s="51"/>
      <c r="E40" s="51"/>
      <c r="F40" s="17" t="s">
        <v>911</v>
      </c>
      <c r="G40" s="17" t="s">
        <v>104</v>
      </c>
      <c r="H40" s="17" t="s">
        <v>908</v>
      </c>
      <c r="I40" s="17" t="s">
        <v>49</v>
      </c>
      <c r="J40" s="17"/>
      <c r="K40" s="26" t="s">
        <v>912</v>
      </c>
      <c r="L40" s="95"/>
      <c r="M40" s="66" t="s">
        <v>838</v>
      </c>
      <c r="N40" s="5" t="s">
        <v>101</v>
      </c>
      <c r="O40" s="14" t="s">
        <v>52</v>
      </c>
      <c r="P40" s="14">
        <v>4</v>
      </c>
      <c r="Q40" s="14"/>
    </row>
    <row r="41" spans="1:17">
      <c r="A41" s="10" t="s">
        <v>913</v>
      </c>
      <c r="B41" s="18" t="s">
        <v>17</v>
      </c>
      <c r="C41" s="51" t="s">
        <v>980</v>
      </c>
      <c r="D41" s="51"/>
      <c r="E41" s="51"/>
      <c r="F41" s="17">
        <v>7</v>
      </c>
      <c r="G41" s="17" t="s">
        <v>104</v>
      </c>
      <c r="H41" s="8" t="s">
        <v>871</v>
      </c>
      <c r="I41" s="17" t="s">
        <v>49</v>
      </c>
      <c r="J41" s="26" t="s">
        <v>1179</v>
      </c>
      <c r="L41" s="56"/>
      <c r="M41" s="66" t="s">
        <v>838</v>
      </c>
      <c r="N41" s="5" t="s">
        <v>101</v>
      </c>
      <c r="O41" s="14" t="s">
        <v>52</v>
      </c>
      <c r="P41" s="14">
        <v>4</v>
      </c>
      <c r="Q41" s="14"/>
    </row>
    <row r="42" spans="1:17">
      <c r="A42" s="48" t="s">
        <v>915</v>
      </c>
      <c r="B42" s="17" t="s">
        <v>856</v>
      </c>
      <c r="C42" s="51"/>
      <c r="D42" s="51"/>
      <c r="E42" s="51"/>
      <c r="F42" s="51"/>
      <c r="G42" s="17"/>
      <c r="H42" s="17"/>
      <c r="I42" s="17"/>
      <c r="J42" s="17"/>
      <c r="K42" s="26"/>
      <c r="L42" s="91"/>
      <c r="M42" s="66" t="s">
        <v>838</v>
      </c>
      <c r="N42" s="5" t="s">
        <v>101</v>
      </c>
      <c r="O42" s="14" t="s">
        <v>52</v>
      </c>
      <c r="P42" s="14">
        <v>4</v>
      </c>
      <c r="Q42" s="14"/>
    </row>
    <row r="43" spans="1:17">
      <c r="A43" s="48" t="s">
        <v>916</v>
      </c>
      <c r="B43" s="17" t="s">
        <v>856</v>
      </c>
      <c r="C43" s="51"/>
      <c r="D43" s="51"/>
      <c r="E43" s="51"/>
      <c r="F43" s="51"/>
      <c r="G43" s="17"/>
      <c r="H43" s="17"/>
      <c r="I43" s="17"/>
      <c r="J43" s="17"/>
      <c r="K43" s="26"/>
      <c r="L43" s="91"/>
      <c r="M43" s="66" t="s">
        <v>838</v>
      </c>
      <c r="N43" s="5" t="s">
        <v>101</v>
      </c>
      <c r="O43" s="14" t="s">
        <v>52</v>
      </c>
      <c r="P43" s="14">
        <v>4</v>
      </c>
      <c r="Q43" s="14"/>
    </row>
    <row r="44" spans="1:17" ht="36">
      <c r="A44" s="10" t="s">
        <v>917</v>
      </c>
      <c r="B44" s="18" t="s">
        <v>289</v>
      </c>
      <c r="C44" s="51" t="s">
        <v>46</v>
      </c>
      <c r="D44" s="51"/>
      <c r="E44" s="51"/>
      <c r="F44" s="18" t="s">
        <v>918</v>
      </c>
      <c r="G44" s="99" t="s">
        <v>919</v>
      </c>
      <c r="H44" s="8" t="s">
        <v>920</v>
      </c>
      <c r="I44" s="17" t="s">
        <v>49</v>
      </c>
      <c r="J44" s="17"/>
      <c r="K44" s="26"/>
      <c r="L44" s="100"/>
      <c r="M44" s="66" t="s">
        <v>838</v>
      </c>
      <c r="N44" s="5" t="s">
        <v>101</v>
      </c>
      <c r="O44" s="14" t="s">
        <v>52</v>
      </c>
      <c r="P44" s="14">
        <v>4</v>
      </c>
      <c r="Q44" s="14"/>
    </row>
    <row r="45" spans="1:17">
      <c r="A45" s="48" t="s">
        <v>921</v>
      </c>
      <c r="B45" s="17"/>
      <c r="C45" s="51" t="s">
        <v>46</v>
      </c>
      <c r="D45" s="51"/>
      <c r="E45" s="51"/>
      <c r="F45" s="51">
        <v>0</v>
      </c>
      <c r="G45" s="17" t="s">
        <v>922</v>
      </c>
      <c r="H45" s="17"/>
      <c r="I45" s="17"/>
      <c r="J45" s="17"/>
      <c r="K45" s="26"/>
      <c r="L45" s="91"/>
      <c r="M45" s="66" t="s">
        <v>838</v>
      </c>
      <c r="N45" s="5" t="s">
        <v>101</v>
      </c>
      <c r="O45" s="14" t="s">
        <v>52</v>
      </c>
      <c r="P45" s="14">
        <v>4</v>
      </c>
      <c r="Q45" s="14"/>
    </row>
    <row r="46" spans="1:17">
      <c r="A46" s="48" t="s">
        <v>923</v>
      </c>
      <c r="B46" s="13"/>
      <c r="C46" s="51"/>
      <c r="D46" s="51"/>
      <c r="E46" s="51"/>
      <c r="F46" s="51"/>
      <c r="G46" s="51"/>
      <c r="H46" s="51"/>
      <c r="I46" s="17"/>
      <c r="J46" s="51"/>
      <c r="K46" s="51"/>
      <c r="L46" s="51"/>
      <c r="M46" s="66" t="s">
        <v>838</v>
      </c>
      <c r="N46" s="5" t="s">
        <v>101</v>
      </c>
      <c r="O46" s="14" t="s">
        <v>52</v>
      </c>
      <c r="P46" s="14">
        <v>4</v>
      </c>
      <c r="Q46" s="14"/>
    </row>
    <row r="47" spans="1:17">
      <c r="A47" s="10" t="s">
        <v>924</v>
      </c>
      <c r="B47" s="13"/>
      <c r="C47" s="51" t="s">
        <v>46</v>
      </c>
      <c r="D47" s="51"/>
      <c r="E47" s="51"/>
      <c r="F47" s="51">
        <v>4.62</v>
      </c>
      <c r="G47" s="51" t="s">
        <v>15</v>
      </c>
      <c r="H47" s="51"/>
      <c r="I47" s="17" t="s">
        <v>49</v>
      </c>
      <c r="J47" s="51" t="s">
        <v>925</v>
      </c>
      <c r="K47" s="51"/>
      <c r="L47" s="51"/>
      <c r="M47" s="66" t="s">
        <v>838</v>
      </c>
      <c r="N47" s="5" t="s">
        <v>101</v>
      </c>
      <c r="O47" s="14" t="s">
        <v>52</v>
      </c>
      <c r="P47" s="14">
        <v>4</v>
      </c>
      <c r="Q47" s="14"/>
    </row>
    <row r="48" spans="1:17" ht="24">
      <c r="A48" s="10" t="s">
        <v>926</v>
      </c>
      <c r="B48" s="17"/>
      <c r="C48" s="51" t="s">
        <v>46</v>
      </c>
      <c r="D48" s="51"/>
      <c r="E48" s="51"/>
      <c r="F48" s="17">
        <v>0.23</v>
      </c>
      <c r="G48" s="17" t="s">
        <v>104</v>
      </c>
      <c r="H48" s="8" t="s">
        <v>871</v>
      </c>
      <c r="I48" s="17" t="s">
        <v>49</v>
      </c>
      <c r="J48" s="17"/>
      <c r="K48" s="26" t="s">
        <v>927</v>
      </c>
      <c r="L48" s="92"/>
      <c r="M48" s="66" t="s">
        <v>838</v>
      </c>
      <c r="N48" s="5" t="s">
        <v>101</v>
      </c>
      <c r="O48" s="14" t="s">
        <v>52</v>
      </c>
      <c r="P48" s="14">
        <v>4</v>
      </c>
      <c r="Q48" s="14"/>
    </row>
    <row r="49" spans="1:17">
      <c r="A49" s="10" t="s">
        <v>928</v>
      </c>
      <c r="B49" s="17" t="s">
        <v>17</v>
      </c>
      <c r="C49" s="51" t="s">
        <v>845</v>
      </c>
      <c r="D49" s="51"/>
      <c r="E49" s="51"/>
      <c r="F49" s="51">
        <v>7</v>
      </c>
      <c r="G49" s="17" t="s">
        <v>104</v>
      </c>
      <c r="H49" s="8" t="s">
        <v>871</v>
      </c>
      <c r="I49" s="17" t="s">
        <v>49</v>
      </c>
      <c r="J49" s="17"/>
      <c r="K49" s="26"/>
      <c r="L49" s="91"/>
      <c r="M49" s="66" t="s">
        <v>838</v>
      </c>
      <c r="N49" s="5" t="s">
        <v>843</v>
      </c>
      <c r="O49" s="14" t="s">
        <v>52</v>
      </c>
      <c r="P49" s="14">
        <v>4</v>
      </c>
      <c r="Q49" s="14"/>
    </row>
    <row r="50" spans="1:17" ht="24">
      <c r="A50" s="10" t="s">
        <v>929</v>
      </c>
      <c r="B50" s="17" t="s">
        <v>930</v>
      </c>
      <c r="C50" s="51" t="s">
        <v>845</v>
      </c>
      <c r="D50" s="51"/>
      <c r="E50" s="51"/>
      <c r="F50" s="51">
        <v>0.08</v>
      </c>
      <c r="G50" s="17" t="s">
        <v>104</v>
      </c>
      <c r="H50" s="8" t="s">
        <v>871</v>
      </c>
      <c r="I50" s="17" t="s">
        <v>49</v>
      </c>
      <c r="J50" s="17"/>
      <c r="K50" s="26" t="s">
        <v>931</v>
      </c>
      <c r="L50" s="91"/>
      <c r="M50" s="66" t="s">
        <v>838</v>
      </c>
      <c r="N50" s="5" t="s">
        <v>101</v>
      </c>
      <c r="O50" s="14" t="s">
        <v>52</v>
      </c>
      <c r="P50" s="14">
        <v>4</v>
      </c>
      <c r="Q50" s="14"/>
    </row>
    <row r="51" spans="1:17" ht="24">
      <c r="A51" s="10" t="s">
        <v>932</v>
      </c>
      <c r="B51" s="17" t="s">
        <v>930</v>
      </c>
      <c r="C51" s="51" t="s">
        <v>845</v>
      </c>
      <c r="D51" s="51"/>
      <c r="E51" s="51"/>
      <c r="F51" s="51">
        <f>0.002*12</f>
        <v>2.4E-2</v>
      </c>
      <c r="G51" s="17" t="s">
        <v>104</v>
      </c>
      <c r="H51" s="8" t="s">
        <v>871</v>
      </c>
      <c r="I51" s="17" t="s">
        <v>49</v>
      </c>
      <c r="J51" s="17"/>
      <c r="K51" s="26" t="s">
        <v>933</v>
      </c>
      <c r="L51" s="56"/>
      <c r="M51" s="66" t="s">
        <v>838</v>
      </c>
      <c r="N51" s="5" t="s">
        <v>101</v>
      </c>
      <c r="O51" s="14" t="s">
        <v>52</v>
      </c>
      <c r="P51" s="14">
        <v>4</v>
      </c>
      <c r="Q51" s="14"/>
    </row>
    <row r="52" spans="1:17" ht="36">
      <c r="A52" s="10" t="s">
        <v>934</v>
      </c>
      <c r="B52" s="18" t="s">
        <v>914</v>
      </c>
      <c r="C52" s="51" t="s">
        <v>845</v>
      </c>
      <c r="D52" s="51"/>
      <c r="E52" s="51"/>
      <c r="F52" s="17">
        <v>3.3500000000000002E-2</v>
      </c>
      <c r="G52" s="17" t="s">
        <v>104</v>
      </c>
      <c r="H52" s="8" t="s">
        <v>871</v>
      </c>
      <c r="I52" s="17" t="s">
        <v>49</v>
      </c>
      <c r="J52" s="17"/>
      <c r="K52" s="26" t="s">
        <v>935</v>
      </c>
      <c r="L52" s="56"/>
      <c r="M52" s="66" t="s">
        <v>838</v>
      </c>
      <c r="N52" s="5" t="s">
        <v>101</v>
      </c>
      <c r="O52" s="14" t="s">
        <v>52</v>
      </c>
      <c r="P52" s="14">
        <v>4</v>
      </c>
      <c r="Q52" s="14"/>
    </row>
    <row r="53" spans="1:17" ht="108">
      <c r="A53" s="10" t="s">
        <v>1178</v>
      </c>
      <c r="B53" s="26" t="s">
        <v>835</v>
      </c>
      <c r="C53" s="51" t="s">
        <v>46</v>
      </c>
      <c r="D53" s="51"/>
      <c r="E53" s="51"/>
      <c r="F53" s="6">
        <v>0</v>
      </c>
      <c r="G53" s="17" t="s">
        <v>104</v>
      </c>
      <c r="H53" s="17"/>
      <c r="I53" s="17" t="s">
        <v>49</v>
      </c>
      <c r="J53" s="17"/>
      <c r="K53" s="26" t="s">
        <v>906</v>
      </c>
      <c r="L53" s="91"/>
      <c r="M53" s="66" t="s">
        <v>838</v>
      </c>
      <c r="N53" s="5" t="s">
        <v>101</v>
      </c>
      <c r="O53" s="14" t="s">
        <v>52</v>
      </c>
      <c r="P53" s="14">
        <v>4</v>
      </c>
      <c r="Q53" s="14"/>
    </row>
    <row r="54" spans="1:17">
      <c r="A54" s="48" t="s">
        <v>936</v>
      </c>
      <c r="B54" s="17" t="s">
        <v>877</v>
      </c>
      <c r="C54" s="51"/>
      <c r="D54" s="51"/>
      <c r="E54" s="51"/>
      <c r="F54" s="51"/>
      <c r="G54" s="17"/>
      <c r="H54" s="17"/>
      <c r="I54" s="17"/>
      <c r="J54" s="17"/>
      <c r="K54" s="26"/>
      <c r="L54" s="91"/>
      <c r="M54" s="66" t="s">
        <v>838</v>
      </c>
      <c r="N54" s="5" t="s">
        <v>101</v>
      </c>
      <c r="O54" s="14" t="s">
        <v>52</v>
      </c>
      <c r="P54" s="14">
        <v>4</v>
      </c>
      <c r="Q54" s="14"/>
    </row>
    <row r="55" spans="1:17" ht="45.75" customHeight="1">
      <c r="A55" s="10" t="s">
        <v>937</v>
      </c>
      <c r="B55" s="17" t="s">
        <v>930</v>
      </c>
      <c r="C55" s="51" t="s">
        <v>845</v>
      </c>
      <c r="D55" s="51"/>
      <c r="E55" s="51"/>
      <c r="F55" s="51">
        <f>0.007*12</f>
        <v>8.4000000000000005E-2</v>
      </c>
      <c r="G55" s="17" t="s">
        <v>104</v>
      </c>
      <c r="H55" s="8" t="s">
        <v>871</v>
      </c>
      <c r="I55" s="17" t="s">
        <v>49</v>
      </c>
      <c r="J55" s="17"/>
      <c r="K55" s="26" t="s">
        <v>938</v>
      </c>
      <c r="L55" s="91"/>
      <c r="M55" s="66" t="s">
        <v>838</v>
      </c>
      <c r="N55" s="5" t="s">
        <v>101</v>
      </c>
      <c r="O55" s="14" t="s">
        <v>52</v>
      </c>
      <c r="P55" s="14">
        <v>4</v>
      </c>
      <c r="Q55" s="14"/>
    </row>
    <row r="56" spans="1:17">
      <c r="A56" s="48" t="s">
        <v>939</v>
      </c>
      <c r="B56" s="17" t="s">
        <v>856</v>
      </c>
      <c r="C56" s="51"/>
      <c r="D56" s="51"/>
      <c r="E56" s="51"/>
      <c r="F56" s="51"/>
      <c r="G56" s="17"/>
      <c r="H56" s="17"/>
      <c r="I56" s="17"/>
      <c r="J56" s="17"/>
      <c r="K56" s="26"/>
      <c r="L56" s="91"/>
      <c r="M56" s="66" t="s">
        <v>838</v>
      </c>
      <c r="N56" s="5" t="s">
        <v>101</v>
      </c>
      <c r="O56" s="14" t="s">
        <v>52</v>
      </c>
      <c r="P56" s="14">
        <v>4</v>
      </c>
      <c r="Q56" s="14"/>
    </row>
    <row r="57" spans="1:17">
      <c r="A57" s="10" t="s">
        <v>940</v>
      </c>
      <c r="B57" s="18" t="s">
        <v>835</v>
      </c>
      <c r="C57" s="20" t="s">
        <v>379</v>
      </c>
      <c r="D57" s="20"/>
      <c r="E57" s="20"/>
      <c r="F57" s="51">
        <v>-1</v>
      </c>
      <c r="G57" s="17" t="s">
        <v>104</v>
      </c>
      <c r="H57" s="17" t="s">
        <v>891</v>
      </c>
      <c r="I57" s="17" t="s">
        <v>569</v>
      </c>
      <c r="J57" s="17"/>
      <c r="K57" s="26"/>
      <c r="L57" s="91"/>
      <c r="M57" s="66" t="s">
        <v>838</v>
      </c>
      <c r="N57" s="5" t="s">
        <v>101</v>
      </c>
      <c r="O57" s="14" t="s">
        <v>52</v>
      </c>
      <c r="P57" s="14">
        <v>4</v>
      </c>
      <c r="Q57" s="14"/>
    </row>
    <row r="58" spans="1:17">
      <c r="A58" s="10" t="s">
        <v>940</v>
      </c>
      <c r="B58" s="18" t="s">
        <v>835</v>
      </c>
      <c r="C58" s="20" t="s">
        <v>382</v>
      </c>
      <c r="D58" s="20"/>
      <c r="E58" s="20"/>
      <c r="F58" s="51">
        <v>1</v>
      </c>
      <c r="G58" s="17" t="s">
        <v>104</v>
      </c>
      <c r="H58" s="17" t="s">
        <v>891</v>
      </c>
      <c r="I58" s="17" t="s">
        <v>569</v>
      </c>
      <c r="J58" s="17"/>
      <c r="K58" s="26"/>
      <c r="L58" s="91"/>
      <c r="M58" s="66" t="s">
        <v>838</v>
      </c>
      <c r="N58" s="5" t="s">
        <v>101</v>
      </c>
      <c r="O58" s="14" t="s">
        <v>52</v>
      </c>
      <c r="P58" s="14">
        <v>4</v>
      </c>
      <c r="Q58" s="14"/>
    </row>
    <row r="59" spans="1:17">
      <c r="A59" s="10" t="s">
        <v>941</v>
      </c>
      <c r="B59" s="17" t="s">
        <v>835</v>
      </c>
      <c r="C59" s="20" t="s">
        <v>379</v>
      </c>
      <c r="D59" s="20"/>
      <c r="E59" s="20"/>
      <c r="F59" s="51">
        <v>5.2</v>
      </c>
      <c r="G59" s="17" t="s">
        <v>15</v>
      </c>
      <c r="H59" s="17" t="s">
        <v>942</v>
      </c>
      <c r="I59" s="17" t="s">
        <v>569</v>
      </c>
      <c r="J59" s="17"/>
      <c r="K59" s="26"/>
      <c r="L59" s="91"/>
      <c r="M59" s="66" t="s">
        <v>838</v>
      </c>
      <c r="N59" s="5" t="s">
        <v>101</v>
      </c>
      <c r="O59" s="14" t="s">
        <v>52</v>
      </c>
      <c r="P59" s="14">
        <v>4</v>
      </c>
      <c r="Q59" s="14"/>
    </row>
    <row r="60" spans="1:17">
      <c r="A60" s="10" t="s">
        <v>941</v>
      </c>
      <c r="B60" s="17" t="s">
        <v>835</v>
      </c>
      <c r="C60" s="20" t="s">
        <v>382</v>
      </c>
      <c r="D60" s="20"/>
      <c r="E60" s="20"/>
      <c r="F60" s="51">
        <v>7.2</v>
      </c>
      <c r="G60" s="17" t="s">
        <v>15</v>
      </c>
      <c r="H60" s="17" t="s">
        <v>942</v>
      </c>
      <c r="I60" s="17" t="s">
        <v>569</v>
      </c>
      <c r="J60" s="17"/>
      <c r="K60" s="26"/>
      <c r="L60" s="91"/>
      <c r="M60" s="66" t="s">
        <v>838</v>
      </c>
      <c r="N60" s="5" t="s">
        <v>101</v>
      </c>
      <c r="O60" s="14" t="s">
        <v>52</v>
      </c>
      <c r="P60" s="14">
        <v>4</v>
      </c>
      <c r="Q60" s="14"/>
    </row>
    <row r="61" spans="1:17" ht="24">
      <c r="A61" s="10" t="s">
        <v>943</v>
      </c>
      <c r="B61" s="18" t="s">
        <v>835</v>
      </c>
      <c r="C61" s="20" t="s">
        <v>379</v>
      </c>
      <c r="D61" s="20"/>
      <c r="E61" s="20"/>
      <c r="F61" s="97">
        <v>-8</v>
      </c>
      <c r="G61" s="17" t="s">
        <v>104</v>
      </c>
      <c r="H61" s="8" t="s">
        <v>886</v>
      </c>
      <c r="I61" s="17" t="s">
        <v>569</v>
      </c>
      <c r="J61" s="17"/>
      <c r="K61" s="26" t="s">
        <v>944</v>
      </c>
      <c r="L61" s="91"/>
      <c r="M61" s="66" t="s">
        <v>838</v>
      </c>
      <c r="N61" s="5" t="s">
        <v>101</v>
      </c>
      <c r="O61" s="14" t="s">
        <v>52</v>
      </c>
      <c r="P61" s="14">
        <v>4</v>
      </c>
      <c r="Q61" s="14"/>
    </row>
    <row r="62" spans="1:17" ht="24">
      <c r="A62" s="10" t="s">
        <v>943</v>
      </c>
      <c r="B62" s="18" t="s">
        <v>835</v>
      </c>
      <c r="C62" s="20" t="s">
        <v>382</v>
      </c>
      <c r="D62" s="20"/>
      <c r="E62" s="20"/>
      <c r="F62" s="97">
        <v>-5</v>
      </c>
      <c r="G62" s="17" t="s">
        <v>104</v>
      </c>
      <c r="H62" s="8" t="s">
        <v>886</v>
      </c>
      <c r="I62" s="17" t="s">
        <v>569</v>
      </c>
      <c r="J62" s="17"/>
      <c r="K62" s="26" t="s">
        <v>944</v>
      </c>
      <c r="L62" s="91"/>
      <c r="M62" s="66" t="s">
        <v>838</v>
      </c>
      <c r="N62" s="5" t="s">
        <v>101</v>
      </c>
      <c r="O62" s="14" t="s">
        <v>52</v>
      </c>
      <c r="P62" s="14">
        <v>4</v>
      </c>
      <c r="Q62" s="14"/>
    </row>
    <row r="63" spans="1:17">
      <c r="A63" s="10" t="s">
        <v>945</v>
      </c>
      <c r="B63" s="18" t="s">
        <v>835</v>
      </c>
      <c r="C63" s="20" t="s">
        <v>379</v>
      </c>
      <c r="D63" s="20"/>
      <c r="E63" s="20"/>
      <c r="F63" s="98">
        <v>-5.4</v>
      </c>
      <c r="G63" s="17" t="s">
        <v>15</v>
      </c>
      <c r="H63" s="8"/>
      <c r="I63" s="17" t="s">
        <v>569</v>
      </c>
      <c r="J63" s="17"/>
      <c r="K63" s="26" t="s">
        <v>888</v>
      </c>
      <c r="L63" s="91"/>
      <c r="M63" s="66" t="s">
        <v>838</v>
      </c>
      <c r="N63" s="5" t="s">
        <v>101</v>
      </c>
      <c r="O63" s="14" t="s">
        <v>52</v>
      </c>
      <c r="P63" s="14">
        <v>4</v>
      </c>
      <c r="Q63" s="14"/>
    </row>
    <row r="64" spans="1:17">
      <c r="A64" s="10" t="s">
        <v>945</v>
      </c>
      <c r="B64" s="18" t="s">
        <v>835</v>
      </c>
      <c r="C64" s="20" t="s">
        <v>382</v>
      </c>
      <c r="D64" s="20"/>
      <c r="E64" s="20"/>
      <c r="F64" s="98">
        <v>0</v>
      </c>
      <c r="G64" s="17" t="s">
        <v>15</v>
      </c>
      <c r="H64" s="8"/>
      <c r="I64" s="17" t="s">
        <v>569</v>
      </c>
      <c r="J64" s="17"/>
      <c r="K64" s="26"/>
      <c r="L64" s="91"/>
      <c r="M64" s="66" t="s">
        <v>838</v>
      </c>
      <c r="N64" s="5" t="s">
        <v>101</v>
      </c>
      <c r="O64" s="14" t="s">
        <v>52</v>
      </c>
      <c r="P64" s="14">
        <v>4</v>
      </c>
      <c r="Q64" s="14"/>
    </row>
    <row r="65" spans="1:17">
      <c r="A65" s="10" t="s">
        <v>946</v>
      </c>
      <c r="B65" s="17" t="s">
        <v>835</v>
      </c>
      <c r="C65" s="20" t="s">
        <v>379</v>
      </c>
      <c r="D65" s="20"/>
      <c r="E65" s="20"/>
      <c r="F65" s="51">
        <v>5</v>
      </c>
      <c r="G65" s="17" t="s">
        <v>15</v>
      </c>
      <c r="H65" s="17" t="s">
        <v>942</v>
      </c>
      <c r="I65" s="17" t="s">
        <v>569</v>
      </c>
      <c r="J65" s="17"/>
      <c r="K65" s="26"/>
      <c r="L65" s="91"/>
      <c r="M65" s="66" t="s">
        <v>838</v>
      </c>
      <c r="N65" s="5" t="s">
        <v>101</v>
      </c>
      <c r="O65" s="14" t="s">
        <v>52</v>
      </c>
      <c r="P65" s="14">
        <v>4</v>
      </c>
      <c r="Q65" s="14"/>
    </row>
    <row r="66" spans="1:17">
      <c r="A66" s="10" t="s">
        <v>946</v>
      </c>
      <c r="B66" s="17" t="s">
        <v>835</v>
      </c>
      <c r="C66" s="20" t="s">
        <v>382</v>
      </c>
      <c r="D66" s="20"/>
      <c r="E66" s="20"/>
      <c r="F66" s="51">
        <v>7.5</v>
      </c>
      <c r="G66" s="17" t="s">
        <v>15</v>
      </c>
      <c r="H66" s="17" t="s">
        <v>942</v>
      </c>
      <c r="I66" s="17" t="s">
        <v>569</v>
      </c>
      <c r="J66" s="17"/>
      <c r="K66" s="26"/>
      <c r="L66" s="91"/>
      <c r="M66" s="66" t="s">
        <v>838</v>
      </c>
      <c r="N66" s="5" t="s">
        <v>101</v>
      </c>
      <c r="O66" s="14" t="s">
        <v>52</v>
      </c>
      <c r="P66" s="14">
        <v>4</v>
      </c>
      <c r="Q66" s="14"/>
    </row>
    <row r="67" spans="1:17" ht="24">
      <c r="A67" s="10" t="s">
        <v>947</v>
      </c>
      <c r="B67" s="18" t="s">
        <v>835</v>
      </c>
      <c r="C67" s="20" t="s">
        <v>379</v>
      </c>
      <c r="D67" s="20"/>
      <c r="E67" s="20"/>
      <c r="F67" s="51">
        <v>0</v>
      </c>
      <c r="G67" s="17" t="s">
        <v>836</v>
      </c>
      <c r="H67" s="17" t="s">
        <v>948</v>
      </c>
      <c r="I67" s="17" t="s">
        <v>49</v>
      </c>
      <c r="J67" s="17" t="s">
        <v>949</v>
      </c>
      <c r="K67" s="26"/>
      <c r="L67" s="91"/>
      <c r="M67" s="66" t="s">
        <v>838</v>
      </c>
      <c r="N67" s="5" t="s">
        <v>101</v>
      </c>
      <c r="O67" s="14" t="s">
        <v>52</v>
      </c>
      <c r="P67" s="14">
        <v>4</v>
      </c>
      <c r="Q67" s="14"/>
    </row>
    <row r="68" spans="1:17" ht="24">
      <c r="A68" s="10" t="s">
        <v>947</v>
      </c>
      <c r="B68" s="18" t="s">
        <v>835</v>
      </c>
      <c r="C68" s="20" t="s">
        <v>382</v>
      </c>
      <c r="D68" s="20"/>
      <c r="E68" s="20"/>
      <c r="F68" s="51">
        <v>0</v>
      </c>
      <c r="G68" s="17" t="s">
        <v>836</v>
      </c>
      <c r="H68" s="17" t="s">
        <v>948</v>
      </c>
      <c r="I68" s="17" t="s">
        <v>49</v>
      </c>
      <c r="J68" s="17" t="s">
        <v>949</v>
      </c>
      <c r="K68" s="26"/>
      <c r="L68" s="91"/>
      <c r="M68" s="66" t="s">
        <v>838</v>
      </c>
      <c r="N68" s="5" t="s">
        <v>101</v>
      </c>
      <c r="O68" s="14" t="s">
        <v>52</v>
      </c>
      <c r="P68" s="14">
        <v>4</v>
      </c>
      <c r="Q68" s="14"/>
    </row>
    <row r="69" spans="1:17">
      <c r="A69" s="10" t="s">
        <v>950</v>
      </c>
      <c r="B69" s="18" t="s">
        <v>835</v>
      </c>
      <c r="C69" s="20" t="s">
        <v>379</v>
      </c>
      <c r="D69" s="20"/>
      <c r="E69" s="20"/>
      <c r="F69" s="51">
        <v>-1</v>
      </c>
      <c r="G69" s="17" t="s">
        <v>104</v>
      </c>
      <c r="H69" s="17" t="s">
        <v>891</v>
      </c>
      <c r="I69" s="17" t="s">
        <v>569</v>
      </c>
      <c r="J69" s="17"/>
      <c r="K69" s="26"/>
      <c r="L69" s="91"/>
      <c r="M69" s="66" t="s">
        <v>838</v>
      </c>
      <c r="N69" s="5" t="s">
        <v>101</v>
      </c>
      <c r="O69" s="14" t="s">
        <v>52</v>
      </c>
      <c r="P69" s="14">
        <v>4</v>
      </c>
      <c r="Q69" s="14"/>
    </row>
    <row r="70" spans="1:17">
      <c r="A70" s="10" t="s">
        <v>950</v>
      </c>
      <c r="B70" s="18" t="s">
        <v>835</v>
      </c>
      <c r="C70" s="20" t="s">
        <v>382</v>
      </c>
      <c r="D70" s="20"/>
      <c r="E70" s="20"/>
      <c r="F70" s="51">
        <v>1</v>
      </c>
      <c r="G70" s="17" t="s">
        <v>104</v>
      </c>
      <c r="H70" s="17" t="s">
        <v>891</v>
      </c>
      <c r="I70" s="17" t="s">
        <v>569</v>
      </c>
      <c r="J70" s="17"/>
      <c r="K70" s="26"/>
      <c r="L70" s="91"/>
      <c r="M70" s="66" t="s">
        <v>838</v>
      </c>
      <c r="N70" s="5" t="s">
        <v>101</v>
      </c>
      <c r="O70" s="14" t="s">
        <v>52</v>
      </c>
      <c r="P70" s="14">
        <v>4</v>
      </c>
      <c r="Q70" s="14"/>
    </row>
    <row r="71" spans="1:17">
      <c r="A71" s="10" t="s">
        <v>951</v>
      </c>
      <c r="B71" s="18"/>
      <c r="C71" s="51" t="s">
        <v>46</v>
      </c>
      <c r="D71" s="20"/>
      <c r="E71" s="20"/>
      <c r="F71" s="51" t="s">
        <v>952</v>
      </c>
      <c r="G71" s="17" t="s">
        <v>953</v>
      </c>
      <c r="H71" s="17"/>
      <c r="I71" s="17" t="s">
        <v>49</v>
      </c>
      <c r="J71" s="17"/>
      <c r="K71" s="26"/>
      <c r="L71" s="91"/>
      <c r="M71" s="66" t="s">
        <v>838</v>
      </c>
      <c r="N71" s="5" t="s">
        <v>101</v>
      </c>
      <c r="O71" s="14" t="s">
        <v>52</v>
      </c>
      <c r="P71" s="14">
        <v>4</v>
      </c>
      <c r="Q71" s="14"/>
    </row>
    <row r="72" spans="1:17" ht="24">
      <c r="A72" s="28" t="s">
        <v>353</v>
      </c>
      <c r="B72" s="3" t="s">
        <v>1</v>
      </c>
      <c r="C72" s="9" t="s">
        <v>31</v>
      </c>
      <c r="D72" s="9" t="s">
        <v>32</v>
      </c>
      <c r="E72" s="9" t="s">
        <v>33</v>
      </c>
      <c r="F72" s="9" t="s">
        <v>124</v>
      </c>
      <c r="G72" s="29" t="s">
        <v>125</v>
      </c>
      <c r="H72" s="29" t="s">
        <v>126</v>
      </c>
      <c r="I72" s="3" t="s">
        <v>36</v>
      </c>
      <c r="J72" s="3" t="s">
        <v>37</v>
      </c>
      <c r="K72" s="3" t="s">
        <v>38</v>
      </c>
      <c r="L72" s="29" t="s">
        <v>39</v>
      </c>
      <c r="M72" s="9" t="s">
        <v>40</v>
      </c>
      <c r="N72" s="9" t="s">
        <v>41</v>
      </c>
      <c r="O72" s="9" t="s">
        <v>42</v>
      </c>
      <c r="P72" s="9" t="s">
        <v>43</v>
      </c>
      <c r="Q72" s="9" t="s">
        <v>1194</v>
      </c>
    </row>
    <row r="73" spans="1:17" ht="25.5" customHeight="1">
      <c r="A73" s="10" t="s">
        <v>954</v>
      </c>
      <c r="B73" s="17" t="s">
        <v>835</v>
      </c>
      <c r="C73" s="20" t="s">
        <v>382</v>
      </c>
      <c r="D73" s="20"/>
      <c r="E73" s="20"/>
      <c r="F73" s="101" t="s">
        <v>955</v>
      </c>
      <c r="G73" s="17" t="s">
        <v>15</v>
      </c>
      <c r="H73" s="17" t="s">
        <v>956</v>
      </c>
      <c r="I73" s="17" t="s">
        <v>569</v>
      </c>
      <c r="J73" s="17" t="s">
        <v>957</v>
      </c>
      <c r="K73" s="26" t="s">
        <v>958</v>
      </c>
      <c r="L73" s="91"/>
      <c r="M73" s="66" t="s">
        <v>959</v>
      </c>
      <c r="N73" s="5" t="s">
        <v>960</v>
      </c>
      <c r="O73" s="66" t="s">
        <v>961</v>
      </c>
      <c r="P73" s="66">
        <v>4</v>
      </c>
      <c r="Q73" s="66"/>
    </row>
    <row r="74" spans="1:17" ht="24">
      <c r="A74" s="10" t="s">
        <v>954</v>
      </c>
      <c r="B74" s="17" t="s">
        <v>835</v>
      </c>
      <c r="C74" s="20" t="s">
        <v>379</v>
      </c>
      <c r="D74" s="20"/>
      <c r="E74" s="20"/>
      <c r="F74" s="101" t="s">
        <v>962</v>
      </c>
      <c r="G74" s="17" t="s">
        <v>15</v>
      </c>
      <c r="H74" s="17" t="s">
        <v>956</v>
      </c>
      <c r="I74" s="17" t="s">
        <v>569</v>
      </c>
      <c r="J74" s="17" t="s">
        <v>957</v>
      </c>
      <c r="K74" s="26" t="s">
        <v>958</v>
      </c>
      <c r="L74" s="91"/>
      <c r="M74" s="66" t="s">
        <v>959</v>
      </c>
      <c r="N74" s="5" t="s">
        <v>960</v>
      </c>
      <c r="O74" s="66" t="s">
        <v>961</v>
      </c>
      <c r="P74" s="66">
        <v>4</v>
      </c>
      <c r="Q74" s="66"/>
    </row>
    <row r="75" spans="1:17" ht="24">
      <c r="A75" s="10" t="s">
        <v>963</v>
      </c>
      <c r="B75" s="17" t="s">
        <v>200</v>
      </c>
      <c r="C75" s="20" t="s">
        <v>382</v>
      </c>
      <c r="D75" s="20"/>
      <c r="E75" s="20"/>
      <c r="F75" s="17" t="s">
        <v>964</v>
      </c>
      <c r="G75" s="99" t="s">
        <v>965</v>
      </c>
      <c r="H75" s="17" t="s">
        <v>966</v>
      </c>
      <c r="I75" s="17" t="s">
        <v>49</v>
      </c>
      <c r="J75" s="17"/>
      <c r="K75" s="26" t="s">
        <v>967</v>
      </c>
      <c r="L75" s="91"/>
      <c r="M75" s="66" t="s">
        <v>959</v>
      </c>
      <c r="N75" s="5" t="s">
        <v>122</v>
      </c>
      <c r="O75" s="66" t="s">
        <v>961</v>
      </c>
      <c r="P75" s="66">
        <v>4</v>
      </c>
      <c r="Q75" s="66"/>
    </row>
    <row r="76" spans="1:17">
      <c r="A76" s="10" t="s">
        <v>963</v>
      </c>
      <c r="B76" s="17" t="s">
        <v>200</v>
      </c>
      <c r="C76" s="20" t="s">
        <v>379</v>
      </c>
      <c r="D76" s="20"/>
      <c r="E76" s="20"/>
      <c r="F76" s="102">
        <v>120</v>
      </c>
      <c r="G76" s="51" t="s">
        <v>104</v>
      </c>
      <c r="H76" s="17" t="s">
        <v>968</v>
      </c>
      <c r="I76" s="17" t="s">
        <v>49</v>
      </c>
      <c r="J76" s="17"/>
      <c r="K76" s="5"/>
      <c r="L76" s="56"/>
      <c r="M76" s="66" t="s">
        <v>959</v>
      </c>
      <c r="N76" s="5" t="s">
        <v>122</v>
      </c>
      <c r="O76" s="66" t="s">
        <v>961</v>
      </c>
      <c r="P76" s="66">
        <v>4</v>
      </c>
      <c r="Q76" s="66"/>
    </row>
    <row r="77" spans="1:17">
      <c r="A77" s="10" t="s">
        <v>969</v>
      </c>
      <c r="B77" s="17" t="s">
        <v>200</v>
      </c>
      <c r="C77" s="20" t="s">
        <v>382</v>
      </c>
      <c r="D77" s="20"/>
      <c r="E77" s="20"/>
      <c r="F77" s="51" t="s">
        <v>970</v>
      </c>
      <c r="G77" s="51" t="s">
        <v>104</v>
      </c>
      <c r="H77" s="17" t="s">
        <v>971</v>
      </c>
      <c r="I77" s="17" t="s">
        <v>49</v>
      </c>
      <c r="J77" s="17"/>
      <c r="K77" s="17"/>
      <c r="L77" s="91"/>
      <c r="M77" s="66" t="s">
        <v>959</v>
      </c>
      <c r="N77" s="5" t="s">
        <v>101</v>
      </c>
      <c r="O77" s="66" t="s">
        <v>961</v>
      </c>
      <c r="P77" s="66">
        <v>4</v>
      </c>
      <c r="Q77" s="66"/>
    </row>
    <row r="78" spans="1:17" ht="30" customHeight="1">
      <c r="A78" s="10" t="s">
        <v>969</v>
      </c>
      <c r="B78" s="17" t="s">
        <v>200</v>
      </c>
      <c r="C78" s="20" t="s">
        <v>379</v>
      </c>
      <c r="D78" s="20"/>
      <c r="E78" s="20"/>
      <c r="F78" s="17" t="s">
        <v>972</v>
      </c>
      <c r="G78" s="99" t="s">
        <v>965</v>
      </c>
      <c r="H78" s="17" t="s">
        <v>966</v>
      </c>
      <c r="I78" s="17" t="s">
        <v>49</v>
      </c>
      <c r="J78" s="17"/>
      <c r="K78" s="26" t="s">
        <v>973</v>
      </c>
      <c r="L78" s="91"/>
      <c r="M78" s="66" t="s">
        <v>959</v>
      </c>
      <c r="N78" s="5" t="s">
        <v>101</v>
      </c>
      <c r="O78" s="66" t="s">
        <v>961</v>
      </c>
      <c r="P78" s="66">
        <v>4</v>
      </c>
      <c r="Q78" s="66"/>
    </row>
    <row r="79" spans="1:17" ht="24">
      <c r="A79" s="10" t="s">
        <v>974</v>
      </c>
      <c r="B79" s="17" t="s">
        <v>835</v>
      </c>
      <c r="C79" s="20" t="s">
        <v>382</v>
      </c>
      <c r="D79" s="20"/>
      <c r="E79" s="20"/>
      <c r="F79" s="51">
        <v>1028.2</v>
      </c>
      <c r="G79" s="17" t="s">
        <v>15</v>
      </c>
      <c r="H79" s="17" t="s">
        <v>942</v>
      </c>
      <c r="I79" s="17" t="s">
        <v>569</v>
      </c>
      <c r="J79" s="17" t="s">
        <v>957</v>
      </c>
      <c r="K79" s="26" t="s">
        <v>975</v>
      </c>
      <c r="L79" s="56"/>
      <c r="M79" s="66" t="s">
        <v>959</v>
      </c>
      <c r="N79" s="5" t="s">
        <v>960</v>
      </c>
      <c r="O79" s="66" t="s">
        <v>961</v>
      </c>
      <c r="P79" s="66">
        <v>4</v>
      </c>
      <c r="Q79" s="66"/>
    </row>
    <row r="80" spans="1:17" ht="24">
      <c r="A80" s="10" t="s">
        <v>974</v>
      </c>
      <c r="B80" s="17" t="s">
        <v>835</v>
      </c>
      <c r="C80" s="20" t="s">
        <v>379</v>
      </c>
      <c r="D80" s="20"/>
      <c r="E80" s="20"/>
      <c r="F80" s="51">
        <v>1025.7</v>
      </c>
      <c r="G80" s="17" t="s">
        <v>15</v>
      </c>
      <c r="H80" s="17" t="s">
        <v>942</v>
      </c>
      <c r="I80" s="17" t="s">
        <v>569</v>
      </c>
      <c r="J80" s="17" t="s">
        <v>957</v>
      </c>
      <c r="K80" s="26" t="s">
        <v>975</v>
      </c>
      <c r="L80" s="56"/>
      <c r="M80" s="66" t="s">
        <v>959</v>
      </c>
      <c r="N80" s="5" t="s">
        <v>960</v>
      </c>
      <c r="O80" s="66" t="s">
        <v>961</v>
      </c>
      <c r="P80" s="66">
        <v>4</v>
      </c>
      <c r="Q80" s="66"/>
    </row>
    <row r="81" spans="1:17" ht="24">
      <c r="A81" s="10" t="s">
        <v>976</v>
      </c>
      <c r="B81" s="17" t="s">
        <v>835</v>
      </c>
      <c r="C81" s="20" t="s">
        <v>382</v>
      </c>
      <c r="D81" s="20"/>
      <c r="E81" s="20"/>
      <c r="F81" s="51">
        <v>1028.2</v>
      </c>
      <c r="G81" s="17" t="s">
        <v>15</v>
      </c>
      <c r="H81" s="17" t="s">
        <v>942</v>
      </c>
      <c r="I81" s="17" t="s">
        <v>569</v>
      </c>
      <c r="J81" s="17" t="s">
        <v>957</v>
      </c>
      <c r="K81" s="26" t="s">
        <v>975</v>
      </c>
      <c r="L81" s="56"/>
      <c r="M81" s="66" t="s">
        <v>959</v>
      </c>
      <c r="N81" s="5" t="s">
        <v>960</v>
      </c>
      <c r="O81" s="66" t="s">
        <v>961</v>
      </c>
      <c r="P81" s="66">
        <v>4</v>
      </c>
      <c r="Q81" s="66"/>
    </row>
    <row r="82" spans="1:17" ht="24">
      <c r="A82" s="10" t="s">
        <v>976</v>
      </c>
      <c r="B82" s="17" t="s">
        <v>835</v>
      </c>
      <c r="C82" s="20" t="s">
        <v>379</v>
      </c>
      <c r="D82" s="20"/>
      <c r="E82" s="20"/>
      <c r="F82" s="51">
        <v>1025.7</v>
      </c>
      <c r="G82" s="17" t="s">
        <v>15</v>
      </c>
      <c r="H82" s="17" t="s">
        <v>942</v>
      </c>
      <c r="I82" s="17" t="s">
        <v>569</v>
      </c>
      <c r="J82" s="17" t="s">
        <v>957</v>
      </c>
      <c r="K82" s="26" t="s">
        <v>975</v>
      </c>
      <c r="L82" s="56"/>
      <c r="M82" s="66" t="s">
        <v>959</v>
      </c>
      <c r="N82" s="5" t="s">
        <v>960</v>
      </c>
      <c r="O82" s="66" t="s">
        <v>961</v>
      </c>
      <c r="P82" s="66">
        <v>4</v>
      </c>
      <c r="Q82" s="66"/>
    </row>
    <row r="83" spans="1:17">
      <c r="A83" s="10" t="s">
        <v>977</v>
      </c>
      <c r="B83" s="18" t="s">
        <v>914</v>
      </c>
      <c r="C83" s="51" t="s">
        <v>978</v>
      </c>
      <c r="D83" s="51"/>
      <c r="E83" s="51"/>
      <c r="F83" s="103">
        <v>0.03</v>
      </c>
      <c r="G83" s="51" t="s">
        <v>104</v>
      </c>
      <c r="H83" s="8" t="s">
        <v>871</v>
      </c>
      <c r="I83" s="17" t="s">
        <v>49</v>
      </c>
      <c r="J83" s="17"/>
      <c r="K83" s="5" t="s">
        <v>979</v>
      </c>
      <c r="L83" s="104"/>
      <c r="M83" s="66" t="s">
        <v>959</v>
      </c>
      <c r="N83" s="5" t="s">
        <v>843</v>
      </c>
      <c r="O83" s="66" t="s">
        <v>961</v>
      </c>
      <c r="P83" s="66">
        <v>4</v>
      </c>
      <c r="Q83" s="66"/>
    </row>
    <row r="84" spans="1:17">
      <c r="A84" s="10" t="s">
        <v>977</v>
      </c>
      <c r="B84" s="18" t="s">
        <v>914</v>
      </c>
      <c r="C84" s="51" t="s">
        <v>980</v>
      </c>
      <c r="D84" s="51"/>
      <c r="E84" s="51"/>
      <c r="F84" s="5">
        <v>3.6999999999999998E-2</v>
      </c>
      <c r="G84" s="51" t="s">
        <v>104</v>
      </c>
      <c r="H84" s="8" t="s">
        <v>871</v>
      </c>
      <c r="I84" s="17" t="s">
        <v>49</v>
      </c>
      <c r="J84" s="17"/>
      <c r="K84" s="5" t="s">
        <v>981</v>
      </c>
      <c r="L84" s="104"/>
      <c r="M84" s="66" t="s">
        <v>959</v>
      </c>
      <c r="N84" s="5" t="s">
        <v>843</v>
      </c>
      <c r="O84" s="66" t="s">
        <v>961</v>
      </c>
      <c r="P84" s="66">
        <v>4</v>
      </c>
      <c r="Q84" s="66"/>
    </row>
    <row r="85" spans="1:17" ht="24">
      <c r="A85" s="10" t="s">
        <v>982</v>
      </c>
      <c r="B85" s="17" t="s">
        <v>835</v>
      </c>
      <c r="C85" s="20" t="s">
        <v>382</v>
      </c>
      <c r="D85" s="20"/>
      <c r="E85" s="20"/>
      <c r="F85" s="17" t="s">
        <v>983</v>
      </c>
      <c r="G85" s="17" t="s">
        <v>984</v>
      </c>
      <c r="H85" s="17" t="s">
        <v>985</v>
      </c>
      <c r="I85" s="17" t="s">
        <v>569</v>
      </c>
      <c r="J85" s="17" t="s">
        <v>957</v>
      </c>
      <c r="K85" s="26" t="s">
        <v>986</v>
      </c>
      <c r="L85" s="91"/>
      <c r="M85" s="66" t="s">
        <v>959</v>
      </c>
      <c r="N85" s="5" t="s">
        <v>960</v>
      </c>
      <c r="O85" s="66" t="s">
        <v>961</v>
      </c>
      <c r="P85" s="66">
        <v>4</v>
      </c>
      <c r="Q85" s="66"/>
    </row>
    <row r="86" spans="1:17" ht="24">
      <c r="A86" s="10" t="s">
        <v>982</v>
      </c>
      <c r="B86" s="17" t="s">
        <v>835</v>
      </c>
      <c r="C86" s="20" t="s">
        <v>379</v>
      </c>
      <c r="D86" s="20"/>
      <c r="E86" s="20"/>
      <c r="F86" s="17" t="s">
        <v>987</v>
      </c>
      <c r="G86" s="17" t="s">
        <v>984</v>
      </c>
      <c r="H86" s="17" t="s">
        <v>985</v>
      </c>
      <c r="I86" s="17" t="s">
        <v>569</v>
      </c>
      <c r="J86" s="17" t="s">
        <v>957</v>
      </c>
      <c r="K86" s="26" t="s">
        <v>986</v>
      </c>
      <c r="L86" s="91"/>
      <c r="M86" s="66" t="s">
        <v>959</v>
      </c>
      <c r="N86" s="5" t="s">
        <v>960</v>
      </c>
      <c r="O86" s="66" t="s">
        <v>961</v>
      </c>
      <c r="P86" s="66">
        <v>4</v>
      </c>
      <c r="Q86" s="66"/>
    </row>
    <row r="87" spans="1:17" ht="24">
      <c r="A87" s="10" t="s">
        <v>988</v>
      </c>
      <c r="B87" s="17" t="s">
        <v>835</v>
      </c>
      <c r="C87" s="20" t="s">
        <v>382</v>
      </c>
      <c r="D87" s="20"/>
      <c r="E87" s="20"/>
      <c r="F87" s="17" t="s">
        <v>983</v>
      </c>
      <c r="G87" s="17" t="s">
        <v>984</v>
      </c>
      <c r="H87" s="17" t="s">
        <v>985</v>
      </c>
      <c r="I87" s="17" t="s">
        <v>569</v>
      </c>
      <c r="J87" s="17" t="s">
        <v>957</v>
      </c>
      <c r="K87" s="26" t="s">
        <v>989</v>
      </c>
      <c r="L87" s="91"/>
      <c r="M87" s="66" t="s">
        <v>959</v>
      </c>
      <c r="N87" s="5" t="s">
        <v>960</v>
      </c>
      <c r="O87" s="66" t="s">
        <v>961</v>
      </c>
      <c r="P87" s="66">
        <v>4</v>
      </c>
      <c r="Q87" s="66"/>
    </row>
    <row r="88" spans="1:17" ht="24">
      <c r="A88" s="10" t="s">
        <v>988</v>
      </c>
      <c r="B88" s="17" t="s">
        <v>835</v>
      </c>
      <c r="C88" s="20" t="s">
        <v>379</v>
      </c>
      <c r="D88" s="20"/>
      <c r="E88" s="20"/>
      <c r="F88" s="17" t="s">
        <v>987</v>
      </c>
      <c r="G88" s="17" t="s">
        <v>984</v>
      </c>
      <c r="H88" s="17" t="s">
        <v>985</v>
      </c>
      <c r="I88" s="17" t="s">
        <v>569</v>
      </c>
      <c r="J88" s="17" t="s">
        <v>957</v>
      </c>
      <c r="K88" s="26" t="s">
        <v>989</v>
      </c>
      <c r="L88" s="91"/>
      <c r="M88" s="66" t="s">
        <v>959</v>
      </c>
      <c r="N88" s="5" t="s">
        <v>960</v>
      </c>
      <c r="O88" s="66" t="s">
        <v>961</v>
      </c>
      <c r="P88" s="66">
        <v>4</v>
      </c>
      <c r="Q88" s="66"/>
    </row>
    <row r="89" spans="1:17" ht="24">
      <c r="A89" s="10" t="s">
        <v>990</v>
      </c>
      <c r="B89" s="18" t="s">
        <v>914</v>
      </c>
      <c r="C89" s="51" t="s">
        <v>978</v>
      </c>
      <c r="D89" s="51"/>
      <c r="E89" s="51"/>
      <c r="F89" s="5">
        <v>1.26E-2</v>
      </c>
      <c r="G89" s="51" t="s">
        <v>104</v>
      </c>
      <c r="H89" s="8" t="s">
        <v>871</v>
      </c>
      <c r="I89" s="17" t="s">
        <v>49</v>
      </c>
      <c r="J89" s="17"/>
      <c r="K89" s="17" t="s">
        <v>991</v>
      </c>
      <c r="L89" s="91"/>
      <c r="M89" s="66" t="s">
        <v>959</v>
      </c>
      <c r="N89" s="5" t="s">
        <v>101</v>
      </c>
      <c r="O89" s="66" t="s">
        <v>961</v>
      </c>
      <c r="P89" s="66">
        <v>4</v>
      </c>
      <c r="Q89" s="66"/>
    </row>
    <row r="90" spans="1:17" ht="24">
      <c r="A90" s="10" t="s">
        <v>990</v>
      </c>
      <c r="B90" s="18" t="s">
        <v>914</v>
      </c>
      <c r="C90" s="51" t="s">
        <v>980</v>
      </c>
      <c r="D90" s="51"/>
      <c r="E90" s="51"/>
      <c r="F90" s="5">
        <v>1.5800000000000002E-2</v>
      </c>
      <c r="G90" s="51" t="s">
        <v>104</v>
      </c>
      <c r="H90" s="8" t="s">
        <v>871</v>
      </c>
      <c r="I90" s="17" t="s">
        <v>49</v>
      </c>
      <c r="J90" s="17"/>
      <c r="K90" s="17" t="s">
        <v>992</v>
      </c>
      <c r="L90" s="91"/>
      <c r="M90" s="66" t="s">
        <v>959</v>
      </c>
      <c r="N90" s="5" t="s">
        <v>101</v>
      </c>
      <c r="O90" s="66" t="s">
        <v>961</v>
      </c>
      <c r="P90" s="66">
        <v>4</v>
      </c>
      <c r="Q90" s="66"/>
    </row>
    <row r="91" spans="1:17" ht="24">
      <c r="A91" s="10" t="s">
        <v>993</v>
      </c>
      <c r="B91" s="17" t="s">
        <v>835</v>
      </c>
      <c r="C91" s="20" t="s">
        <v>382</v>
      </c>
      <c r="D91" s="20"/>
      <c r="E91" s="20"/>
      <c r="F91" s="17" t="s">
        <v>983</v>
      </c>
      <c r="G91" s="17" t="s">
        <v>984</v>
      </c>
      <c r="H91" s="17" t="s">
        <v>985</v>
      </c>
      <c r="I91" s="17" t="s">
        <v>569</v>
      </c>
      <c r="J91" s="17" t="s">
        <v>957</v>
      </c>
      <c r="K91" s="26"/>
      <c r="L91" s="91"/>
      <c r="M91" s="66" t="s">
        <v>959</v>
      </c>
      <c r="N91" s="5" t="s">
        <v>960</v>
      </c>
      <c r="O91" s="66" t="s">
        <v>961</v>
      </c>
      <c r="P91" s="66">
        <v>4</v>
      </c>
      <c r="Q91" s="66"/>
    </row>
    <row r="92" spans="1:17" ht="24">
      <c r="A92" s="10" t="s">
        <v>993</v>
      </c>
      <c r="B92" s="17" t="s">
        <v>835</v>
      </c>
      <c r="C92" s="20" t="s">
        <v>379</v>
      </c>
      <c r="D92" s="20"/>
      <c r="E92" s="20"/>
      <c r="F92" s="17" t="s">
        <v>987</v>
      </c>
      <c r="G92" s="17" t="s">
        <v>984</v>
      </c>
      <c r="H92" s="17" t="s">
        <v>985</v>
      </c>
      <c r="I92" s="17" t="s">
        <v>569</v>
      </c>
      <c r="J92" s="17" t="s">
        <v>957</v>
      </c>
      <c r="K92" s="26"/>
      <c r="L92" s="91"/>
      <c r="M92" s="66" t="s">
        <v>959</v>
      </c>
      <c r="N92" s="5" t="s">
        <v>960</v>
      </c>
      <c r="O92" s="66" t="s">
        <v>961</v>
      </c>
      <c r="P92" s="66">
        <v>4</v>
      </c>
      <c r="Q92" s="66"/>
    </row>
    <row r="93" spans="1:17" ht="36">
      <c r="A93" s="10" t="s">
        <v>994</v>
      </c>
      <c r="B93" s="17" t="s">
        <v>200</v>
      </c>
      <c r="C93" s="51" t="s">
        <v>46</v>
      </c>
      <c r="D93" s="51"/>
      <c r="E93" s="51"/>
      <c r="F93" s="105" t="s">
        <v>995</v>
      </c>
      <c r="G93" s="99" t="s">
        <v>996</v>
      </c>
      <c r="H93" s="17" t="s">
        <v>997</v>
      </c>
      <c r="I93" s="17" t="s">
        <v>49</v>
      </c>
      <c r="J93" s="17"/>
      <c r="K93" s="26"/>
      <c r="L93" s="91"/>
      <c r="M93" s="66" t="s">
        <v>959</v>
      </c>
      <c r="N93" s="5" t="s">
        <v>122</v>
      </c>
      <c r="O93" s="66" t="s">
        <v>961</v>
      </c>
      <c r="P93" s="66">
        <v>4</v>
      </c>
      <c r="Q93" s="66"/>
    </row>
    <row r="94" spans="1:17" ht="39" customHeight="1">
      <c r="A94" s="10" t="s">
        <v>998</v>
      </c>
      <c r="B94" s="17" t="s">
        <v>200</v>
      </c>
      <c r="C94" s="51" t="s">
        <v>46</v>
      </c>
      <c r="D94" s="51"/>
      <c r="E94" s="51"/>
      <c r="F94" s="17" t="s">
        <v>999</v>
      </c>
      <c r="G94" s="99" t="s">
        <v>1000</v>
      </c>
      <c r="H94" s="17" t="s">
        <v>1001</v>
      </c>
      <c r="I94" s="17" t="s">
        <v>49</v>
      </c>
      <c r="J94" s="17"/>
      <c r="L94" s="91"/>
      <c r="M94" s="66" t="s">
        <v>959</v>
      </c>
      <c r="N94" s="5" t="s">
        <v>101</v>
      </c>
      <c r="O94" s="66" t="s">
        <v>961</v>
      </c>
      <c r="P94" s="66">
        <v>4</v>
      </c>
      <c r="Q94" s="66"/>
    </row>
    <row r="95" spans="1:17" ht="24">
      <c r="A95" s="10" t="s">
        <v>1002</v>
      </c>
      <c r="B95" s="18" t="s">
        <v>914</v>
      </c>
      <c r="C95" s="51" t="s">
        <v>978</v>
      </c>
      <c r="D95" s="51"/>
      <c r="E95" s="51"/>
      <c r="F95" s="5">
        <v>1.54E-2</v>
      </c>
      <c r="G95" s="51" t="s">
        <v>104</v>
      </c>
      <c r="H95" s="8" t="s">
        <v>871</v>
      </c>
      <c r="I95" s="17" t="s">
        <v>49</v>
      </c>
      <c r="J95" s="17"/>
      <c r="K95" s="17" t="s">
        <v>991</v>
      </c>
      <c r="L95" s="91"/>
      <c r="M95" s="66" t="s">
        <v>959</v>
      </c>
      <c r="N95" s="5" t="s">
        <v>101</v>
      </c>
      <c r="O95" s="66" t="s">
        <v>961</v>
      </c>
      <c r="P95" s="66">
        <v>4</v>
      </c>
      <c r="Q95" s="66"/>
    </row>
    <row r="96" spans="1:17" ht="24">
      <c r="A96" s="10" t="s">
        <v>1002</v>
      </c>
      <c r="B96" s="18" t="s">
        <v>914</v>
      </c>
      <c r="C96" s="51" t="s">
        <v>980</v>
      </c>
      <c r="D96" s="51"/>
      <c r="E96" s="51"/>
      <c r="F96" s="5">
        <v>1.9300000000000001E-2</v>
      </c>
      <c r="G96" s="51" t="s">
        <v>104</v>
      </c>
      <c r="H96" s="8" t="s">
        <v>871</v>
      </c>
      <c r="I96" s="17" t="s">
        <v>49</v>
      </c>
      <c r="J96" s="17"/>
      <c r="K96" s="17" t="s">
        <v>992</v>
      </c>
      <c r="L96" s="91"/>
      <c r="M96" s="66" t="s">
        <v>959</v>
      </c>
      <c r="N96" s="5" t="s">
        <v>101</v>
      </c>
      <c r="O96" s="66" t="s">
        <v>961</v>
      </c>
      <c r="P96" s="66">
        <v>4</v>
      </c>
      <c r="Q96" s="66"/>
    </row>
    <row r="97" spans="1:17" ht="24">
      <c r="A97" s="10" t="s">
        <v>1003</v>
      </c>
      <c r="B97" s="17" t="s">
        <v>835</v>
      </c>
      <c r="C97" s="20" t="s">
        <v>382</v>
      </c>
      <c r="D97" s="20"/>
      <c r="E97" s="20"/>
      <c r="F97" s="17" t="s">
        <v>983</v>
      </c>
      <c r="G97" s="17" t="s">
        <v>984</v>
      </c>
      <c r="H97" s="17" t="s">
        <v>985</v>
      </c>
      <c r="I97" s="17" t="s">
        <v>569</v>
      </c>
      <c r="J97" s="17" t="s">
        <v>957</v>
      </c>
      <c r="K97" s="26"/>
      <c r="L97" s="91"/>
      <c r="M97" s="66" t="s">
        <v>959</v>
      </c>
      <c r="N97" s="5" t="s">
        <v>960</v>
      </c>
      <c r="O97" s="66" t="s">
        <v>961</v>
      </c>
      <c r="P97" s="66">
        <v>4</v>
      </c>
      <c r="Q97" s="66"/>
    </row>
    <row r="98" spans="1:17" ht="24">
      <c r="A98" s="10" t="s">
        <v>1003</v>
      </c>
      <c r="B98" s="17" t="s">
        <v>835</v>
      </c>
      <c r="C98" s="20" t="s">
        <v>379</v>
      </c>
      <c r="D98" s="20"/>
      <c r="E98" s="20"/>
      <c r="F98" s="17" t="s">
        <v>987</v>
      </c>
      <c r="G98" s="17" t="s">
        <v>984</v>
      </c>
      <c r="H98" s="17" t="s">
        <v>985</v>
      </c>
      <c r="I98" s="17" t="s">
        <v>569</v>
      </c>
      <c r="J98" s="17" t="s">
        <v>957</v>
      </c>
      <c r="K98" s="26"/>
      <c r="L98" s="91"/>
      <c r="M98" s="66" t="s">
        <v>959</v>
      </c>
      <c r="N98" s="5" t="s">
        <v>960</v>
      </c>
      <c r="O98" s="66" t="s">
        <v>961</v>
      </c>
      <c r="P98" s="66">
        <v>4</v>
      </c>
      <c r="Q98" s="66"/>
    </row>
    <row r="99" spans="1:17" ht="36">
      <c r="A99" s="10" t="s">
        <v>1004</v>
      </c>
      <c r="B99" s="17" t="s">
        <v>200</v>
      </c>
      <c r="C99" s="51" t="s">
        <v>46</v>
      </c>
      <c r="D99" s="51"/>
      <c r="E99" s="51"/>
      <c r="F99" s="105" t="s">
        <v>995</v>
      </c>
      <c r="G99" s="99" t="s">
        <v>996</v>
      </c>
      <c r="H99" s="17" t="s">
        <v>997</v>
      </c>
      <c r="I99" s="17" t="s">
        <v>49</v>
      </c>
      <c r="J99" s="17"/>
      <c r="K99" s="26"/>
      <c r="L99" s="91"/>
      <c r="M99" s="66" t="s">
        <v>959</v>
      </c>
      <c r="N99" s="5" t="s">
        <v>122</v>
      </c>
      <c r="O99" s="66" t="s">
        <v>961</v>
      </c>
      <c r="P99" s="66">
        <v>4</v>
      </c>
      <c r="Q99" s="66"/>
    </row>
    <row r="100" spans="1:17" ht="36.75" customHeight="1">
      <c r="A100" s="10" t="s">
        <v>1005</v>
      </c>
      <c r="B100" s="17" t="s">
        <v>200</v>
      </c>
      <c r="C100" s="51" t="s">
        <v>46</v>
      </c>
      <c r="D100" s="51"/>
      <c r="E100" s="51"/>
      <c r="F100" s="17" t="s">
        <v>999</v>
      </c>
      <c r="G100" s="99" t="s">
        <v>1000</v>
      </c>
      <c r="H100" s="17" t="s">
        <v>1001</v>
      </c>
      <c r="I100" s="17" t="s">
        <v>49</v>
      </c>
      <c r="J100" s="17"/>
      <c r="K100" s="26"/>
      <c r="L100" s="91"/>
      <c r="M100" s="66" t="s">
        <v>959</v>
      </c>
      <c r="N100" s="5" t="s">
        <v>101</v>
      </c>
      <c r="O100" s="66" t="s">
        <v>961</v>
      </c>
      <c r="P100" s="66">
        <v>4</v>
      </c>
      <c r="Q100" s="66"/>
    </row>
    <row r="101" spans="1:17">
      <c r="A101" s="10" t="s">
        <v>1006</v>
      </c>
      <c r="B101" s="18" t="s">
        <v>914</v>
      </c>
      <c r="C101" s="51" t="s">
        <v>845</v>
      </c>
      <c r="D101" s="51"/>
      <c r="E101" s="51"/>
      <c r="F101" s="106">
        <v>8.9999999999999998E-4</v>
      </c>
      <c r="G101" s="51" t="s">
        <v>104</v>
      </c>
      <c r="H101" s="8" t="s">
        <v>871</v>
      </c>
      <c r="I101" s="17" t="s">
        <v>49</v>
      </c>
      <c r="J101" s="17"/>
      <c r="K101" s="17" t="s">
        <v>1007</v>
      </c>
      <c r="L101" s="91"/>
      <c r="M101" s="66" t="s">
        <v>959</v>
      </c>
      <c r="N101" s="5" t="s">
        <v>843</v>
      </c>
      <c r="O101" s="66" t="s">
        <v>961</v>
      </c>
      <c r="P101" s="66">
        <v>4</v>
      </c>
      <c r="Q101" s="66"/>
    </row>
    <row r="102" spans="1:17">
      <c r="A102" s="10" t="s">
        <v>1008</v>
      </c>
      <c r="B102" s="17" t="s">
        <v>200</v>
      </c>
      <c r="C102" s="20" t="s">
        <v>46</v>
      </c>
      <c r="D102" s="20"/>
      <c r="E102" s="20"/>
      <c r="F102" s="17" t="s">
        <v>1009</v>
      </c>
      <c r="G102" s="99" t="s">
        <v>104</v>
      </c>
      <c r="H102" s="17" t="s">
        <v>1010</v>
      </c>
      <c r="I102" s="17" t="s">
        <v>49</v>
      </c>
      <c r="J102" s="17"/>
      <c r="K102" s="26" t="s">
        <v>1011</v>
      </c>
      <c r="L102" s="91"/>
      <c r="M102" s="66" t="s">
        <v>959</v>
      </c>
      <c r="N102" s="5" t="s">
        <v>122</v>
      </c>
      <c r="O102" s="66" t="s">
        <v>961</v>
      </c>
      <c r="P102" s="66">
        <v>4</v>
      </c>
      <c r="Q102" s="66"/>
    </row>
    <row r="103" spans="1:17">
      <c r="A103" s="10" t="s">
        <v>1012</v>
      </c>
      <c r="B103" s="17" t="s">
        <v>200</v>
      </c>
      <c r="C103" s="20" t="s">
        <v>46</v>
      </c>
      <c r="D103" s="20"/>
      <c r="E103" s="20"/>
      <c r="F103" s="51" t="s">
        <v>1013</v>
      </c>
      <c r="G103" s="51" t="s">
        <v>104</v>
      </c>
      <c r="H103" s="17" t="s">
        <v>1010</v>
      </c>
      <c r="I103" s="17" t="s">
        <v>49</v>
      </c>
      <c r="J103" s="17"/>
      <c r="K103" s="26" t="s">
        <v>1011</v>
      </c>
      <c r="L103" s="91"/>
      <c r="M103" s="66" t="s">
        <v>959</v>
      </c>
      <c r="N103" s="5" t="s">
        <v>101</v>
      </c>
      <c r="O103" s="66" t="s">
        <v>961</v>
      </c>
      <c r="P103" s="66">
        <v>4</v>
      </c>
      <c r="Q103" s="66"/>
    </row>
    <row r="104" spans="1:17">
      <c r="A104" s="10" t="s">
        <v>1014</v>
      </c>
      <c r="B104" s="18" t="s">
        <v>914</v>
      </c>
      <c r="C104" s="51" t="s">
        <v>845</v>
      </c>
      <c r="D104" s="51"/>
      <c r="E104" s="51"/>
      <c r="F104" s="94">
        <v>1.1000000000000001E-3</v>
      </c>
      <c r="G104" s="51" t="s">
        <v>104</v>
      </c>
      <c r="H104" s="8" t="s">
        <v>871</v>
      </c>
      <c r="I104" s="17" t="s">
        <v>49</v>
      </c>
      <c r="J104" s="17"/>
      <c r="K104" s="17" t="s">
        <v>1015</v>
      </c>
      <c r="L104" s="91"/>
      <c r="M104" s="66" t="s">
        <v>959</v>
      </c>
      <c r="N104" s="5" t="s">
        <v>843</v>
      </c>
      <c r="O104" s="66" t="s">
        <v>961</v>
      </c>
      <c r="P104" s="66">
        <v>4</v>
      </c>
      <c r="Q104" s="66"/>
    </row>
    <row r="105" spans="1:17">
      <c r="A105" s="10" t="s">
        <v>1016</v>
      </c>
      <c r="B105" s="17" t="s">
        <v>200</v>
      </c>
      <c r="C105" s="20" t="s">
        <v>46</v>
      </c>
      <c r="D105" s="20"/>
      <c r="E105" s="20"/>
      <c r="F105" s="17" t="s">
        <v>1009</v>
      </c>
      <c r="G105" s="99" t="s">
        <v>104</v>
      </c>
      <c r="H105" s="17" t="s">
        <v>1010</v>
      </c>
      <c r="I105" s="17" t="s">
        <v>49</v>
      </c>
      <c r="J105" s="17"/>
      <c r="K105" s="26" t="s">
        <v>1011</v>
      </c>
      <c r="L105" s="91"/>
      <c r="M105" s="66" t="s">
        <v>959</v>
      </c>
      <c r="N105" s="5" t="s">
        <v>122</v>
      </c>
      <c r="O105" s="66" t="s">
        <v>961</v>
      </c>
      <c r="P105" s="66">
        <v>4</v>
      </c>
      <c r="Q105" s="66"/>
    </row>
    <row r="106" spans="1:17" ht="14.25" customHeight="1">
      <c r="A106" s="10" t="s">
        <v>1017</v>
      </c>
      <c r="B106" s="17" t="s">
        <v>200</v>
      </c>
      <c r="C106" s="20" t="s">
        <v>46</v>
      </c>
      <c r="D106" s="20"/>
      <c r="E106" s="20"/>
      <c r="F106" s="51" t="s">
        <v>1013</v>
      </c>
      <c r="G106" s="51" t="s">
        <v>104</v>
      </c>
      <c r="H106" s="17" t="s">
        <v>1010</v>
      </c>
      <c r="I106" s="17" t="s">
        <v>49</v>
      </c>
      <c r="J106" s="17"/>
      <c r="K106" s="26" t="s">
        <v>1011</v>
      </c>
      <c r="L106" s="91"/>
      <c r="M106" s="66" t="s">
        <v>959</v>
      </c>
      <c r="N106" s="5" t="s">
        <v>101</v>
      </c>
      <c r="O106" s="66" t="s">
        <v>961</v>
      </c>
      <c r="P106" s="66">
        <v>4</v>
      </c>
      <c r="Q106" s="66"/>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93"/>
  <sheetViews>
    <sheetView zoomScaleNormal="100" workbookViewId="0">
      <pane xSplit="1" topLeftCell="B1" activePane="topRight" state="frozen"/>
      <selection activeCell="A67" sqref="A67"/>
      <selection pane="topRight" activeCell="F7" sqref="F7"/>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7" s="1" customFormat="1" ht="26.25" customHeight="1">
      <c r="A1" s="3" t="s">
        <v>30</v>
      </c>
      <c r="B1" s="9" t="s">
        <v>1</v>
      </c>
      <c r="C1" s="9" t="s">
        <v>31</v>
      </c>
      <c r="D1" s="9" t="s">
        <v>32</v>
      </c>
      <c r="E1" s="9" t="s">
        <v>33</v>
      </c>
      <c r="F1" s="9" t="s">
        <v>34</v>
      </c>
      <c r="G1" s="9" t="s">
        <v>3</v>
      </c>
      <c r="H1" s="3" t="s">
        <v>35</v>
      </c>
      <c r="I1" s="3" t="s">
        <v>36</v>
      </c>
      <c r="J1" s="3" t="s">
        <v>37</v>
      </c>
      <c r="K1" s="3" t="s">
        <v>38</v>
      </c>
      <c r="L1" s="3" t="s">
        <v>1018</v>
      </c>
      <c r="M1" s="9" t="s">
        <v>40</v>
      </c>
      <c r="N1" s="9" t="s">
        <v>41</v>
      </c>
      <c r="O1" s="9" t="s">
        <v>42</v>
      </c>
      <c r="P1" s="9" t="s">
        <v>43</v>
      </c>
      <c r="Q1" s="9" t="s">
        <v>1194</v>
      </c>
    </row>
    <row r="2" spans="1:17">
      <c r="A2" s="67" t="s">
        <v>1019</v>
      </c>
      <c r="B2" s="14" t="s">
        <v>14</v>
      </c>
      <c r="C2" s="8" t="s">
        <v>46</v>
      </c>
      <c r="D2" s="14"/>
      <c r="E2" s="14"/>
      <c r="F2" s="14">
        <v>200</v>
      </c>
      <c r="G2" s="14" t="s">
        <v>1020</v>
      </c>
      <c r="H2" s="14"/>
      <c r="I2" s="14" t="s">
        <v>49</v>
      </c>
      <c r="J2" s="108"/>
      <c r="K2" s="14"/>
      <c r="L2" s="14">
        <v>200</v>
      </c>
      <c r="M2" s="66" t="s">
        <v>1021</v>
      </c>
      <c r="N2" s="5" t="s">
        <v>71</v>
      </c>
      <c r="O2" s="14" t="s">
        <v>52</v>
      </c>
      <c r="P2" s="14"/>
      <c r="Q2" s="14"/>
    </row>
    <row r="3" spans="1:17" s="1" customFormat="1" ht="23.25" customHeight="1">
      <c r="A3" s="10" t="s">
        <v>1022</v>
      </c>
      <c r="B3" s="8" t="s">
        <v>17</v>
      </c>
      <c r="C3" s="8" t="s">
        <v>46</v>
      </c>
      <c r="D3" s="14"/>
      <c r="E3" s="14"/>
      <c r="F3" s="52">
        <f>SUM(F15,F18,F21,F24,F27,F30,F33,F36,F39,F42,F47,F50,F53)</f>
        <v>8751.6116205773851</v>
      </c>
      <c r="G3" s="8" t="s">
        <v>1023</v>
      </c>
      <c r="H3" s="8"/>
      <c r="I3" s="14" t="s">
        <v>49</v>
      </c>
      <c r="J3" s="2" t="s">
        <v>1024</v>
      </c>
      <c r="K3" s="35" t="s">
        <v>1025</v>
      </c>
      <c r="L3" s="8">
        <v>7363</v>
      </c>
      <c r="M3" s="66" t="s">
        <v>1021</v>
      </c>
      <c r="N3" s="5" t="s">
        <v>57</v>
      </c>
      <c r="O3" s="14" t="s">
        <v>52</v>
      </c>
      <c r="P3" s="14"/>
      <c r="Q3" s="14"/>
    </row>
    <row r="4" spans="1:17" s="1" customFormat="1">
      <c r="A4" s="10" t="s">
        <v>1026</v>
      </c>
      <c r="B4" s="8" t="s">
        <v>17</v>
      </c>
      <c r="C4" s="8" t="s">
        <v>46</v>
      </c>
      <c r="D4" s="14"/>
      <c r="E4" s="14"/>
      <c r="F4" s="8">
        <f>SUM(F14:F43,F47:F54)</f>
        <v>34084.065120622952</v>
      </c>
      <c r="G4" s="8" t="s">
        <v>1023</v>
      </c>
      <c r="H4" s="8"/>
      <c r="I4" s="14" t="s">
        <v>49</v>
      </c>
      <c r="J4" s="87"/>
      <c r="K4" s="12" t="s">
        <v>1027</v>
      </c>
      <c r="L4" s="8" t="s">
        <v>1028</v>
      </c>
      <c r="M4" s="66" t="s">
        <v>1021</v>
      </c>
      <c r="N4" s="5" t="s">
        <v>57</v>
      </c>
      <c r="O4" s="14" t="s">
        <v>52</v>
      </c>
      <c r="P4" s="14"/>
      <c r="Q4" s="14"/>
    </row>
    <row r="5" spans="1:17" s="1" customFormat="1" ht="24">
      <c r="A5" s="10" t="s">
        <v>1029</v>
      </c>
      <c r="B5" s="12"/>
      <c r="C5" s="8" t="s">
        <v>46</v>
      </c>
      <c r="D5" s="14"/>
      <c r="E5" s="14"/>
      <c r="F5" s="8" t="s">
        <v>1182</v>
      </c>
      <c r="G5" s="8" t="s">
        <v>1183</v>
      </c>
      <c r="H5" s="8" t="s">
        <v>1031</v>
      </c>
      <c r="I5" s="14" t="s">
        <v>49</v>
      </c>
      <c r="J5" s="109"/>
      <c r="K5" s="8" t="s">
        <v>1032</v>
      </c>
      <c r="L5" s="8" t="s">
        <v>1030</v>
      </c>
      <c r="M5" s="66" t="s">
        <v>1021</v>
      </c>
      <c r="N5" s="5" t="s">
        <v>71</v>
      </c>
      <c r="O5" s="14" t="s">
        <v>52</v>
      </c>
      <c r="P5" s="14">
        <v>2</v>
      </c>
      <c r="Q5" s="14"/>
    </row>
    <row r="6" spans="1:17" s="1" customFormat="1">
      <c r="A6" s="10" t="s">
        <v>1033</v>
      </c>
      <c r="B6" s="8" t="s">
        <v>17</v>
      </c>
      <c r="C6" s="8" t="s">
        <v>46</v>
      </c>
      <c r="D6" s="14"/>
      <c r="E6" s="14"/>
      <c r="F6" s="52">
        <f>SUM(F16+F19+F22+F25+F28+F31+F34+F37+F40+F43+F48+F51+F54)</f>
        <v>25271.303751033935</v>
      </c>
      <c r="G6" s="8" t="s">
        <v>1023</v>
      </c>
      <c r="H6" s="12"/>
      <c r="I6" s="14" t="s">
        <v>49</v>
      </c>
      <c r="J6" s="2" t="s">
        <v>1034</v>
      </c>
      <c r="K6" s="8"/>
      <c r="L6" s="8">
        <v>16700</v>
      </c>
      <c r="M6" s="66" t="s">
        <v>1021</v>
      </c>
      <c r="N6" s="5" t="s">
        <v>57</v>
      </c>
      <c r="O6" s="14" t="s">
        <v>52</v>
      </c>
      <c r="P6" s="14"/>
      <c r="Q6" s="14"/>
    </row>
    <row r="7" spans="1:17">
      <c r="A7" s="67" t="s">
        <v>1035</v>
      </c>
      <c r="B7" s="14" t="s">
        <v>14</v>
      </c>
      <c r="C7" s="8" t="s">
        <v>46</v>
      </c>
      <c r="D7" s="14"/>
      <c r="E7" s="14"/>
      <c r="F7" s="14">
        <v>250</v>
      </c>
      <c r="G7" s="14" t="s">
        <v>1020</v>
      </c>
      <c r="H7" s="59"/>
      <c r="I7" s="14" t="s">
        <v>49</v>
      </c>
      <c r="J7" s="108"/>
      <c r="K7" s="14"/>
      <c r="L7" s="14">
        <v>250</v>
      </c>
      <c r="M7" s="66" t="s">
        <v>1021</v>
      </c>
      <c r="N7" s="5" t="s">
        <v>57</v>
      </c>
      <c r="O7" s="14" t="s">
        <v>52</v>
      </c>
      <c r="P7" s="14"/>
      <c r="Q7" s="14"/>
    </row>
    <row r="8" spans="1:17">
      <c r="A8" s="67" t="s">
        <v>1036</v>
      </c>
      <c r="B8" s="17"/>
      <c r="C8" s="8" t="s">
        <v>46</v>
      </c>
      <c r="D8" s="14"/>
      <c r="E8" s="14"/>
      <c r="F8" s="110">
        <v>0.85</v>
      </c>
      <c r="G8" s="111" t="s">
        <v>1037</v>
      </c>
      <c r="H8" s="111" t="s">
        <v>1038</v>
      </c>
      <c r="I8" s="14" t="s">
        <v>49</v>
      </c>
      <c r="J8" s="112"/>
      <c r="K8" s="110"/>
      <c r="L8" s="110">
        <v>0.85</v>
      </c>
      <c r="M8" s="66" t="s">
        <v>1021</v>
      </c>
      <c r="N8" s="5" t="s">
        <v>51</v>
      </c>
      <c r="O8" s="14" t="s">
        <v>52</v>
      </c>
      <c r="P8" s="14">
        <v>2</v>
      </c>
      <c r="Q8" s="14"/>
    </row>
    <row r="9" spans="1:17">
      <c r="A9" s="120" t="s">
        <v>1168</v>
      </c>
      <c r="B9" s="8" t="s">
        <v>914</v>
      </c>
      <c r="C9" s="8" t="s">
        <v>46</v>
      </c>
      <c r="D9" s="69"/>
      <c r="E9" s="69"/>
      <c r="F9" s="110">
        <v>42</v>
      </c>
      <c r="G9" s="111" t="s">
        <v>1020</v>
      </c>
      <c r="H9" s="111"/>
      <c r="I9" s="14" t="s">
        <v>49</v>
      </c>
      <c r="J9" s="112"/>
      <c r="K9" s="110"/>
      <c r="L9" s="110">
        <v>37</v>
      </c>
      <c r="M9" s="66" t="s">
        <v>1021</v>
      </c>
      <c r="N9" s="5" t="s">
        <v>71</v>
      </c>
      <c r="O9" s="14" t="s">
        <v>52</v>
      </c>
      <c r="P9" s="69"/>
      <c r="Q9" s="69"/>
    </row>
    <row r="10" spans="1:17" s="1" customFormat="1" ht="26.25" customHeight="1">
      <c r="A10" s="28" t="s">
        <v>1039</v>
      </c>
      <c r="B10" s="3" t="s">
        <v>1</v>
      </c>
      <c r="C10" s="3" t="s">
        <v>31</v>
      </c>
      <c r="D10" s="9" t="s">
        <v>32</v>
      </c>
      <c r="E10" s="9" t="s">
        <v>33</v>
      </c>
      <c r="F10" s="3" t="s">
        <v>34</v>
      </c>
      <c r="G10" s="3" t="s">
        <v>3</v>
      </c>
      <c r="H10" s="3" t="s">
        <v>35</v>
      </c>
      <c r="I10" s="3" t="s">
        <v>36</v>
      </c>
      <c r="J10" s="3" t="s">
        <v>37</v>
      </c>
      <c r="K10" s="3" t="s">
        <v>38</v>
      </c>
      <c r="L10" s="3" t="s">
        <v>1018</v>
      </c>
      <c r="M10" s="3" t="s">
        <v>40</v>
      </c>
      <c r="N10" s="9" t="s">
        <v>41</v>
      </c>
      <c r="O10" s="9" t="s">
        <v>42</v>
      </c>
      <c r="P10" s="9" t="s">
        <v>43</v>
      </c>
      <c r="Q10" s="9" t="s">
        <v>1194</v>
      </c>
    </row>
    <row r="11" spans="1:17">
      <c r="A11" s="67" t="s">
        <v>1040</v>
      </c>
      <c r="B11" s="14" t="s">
        <v>14</v>
      </c>
      <c r="C11" s="17" t="s">
        <v>46</v>
      </c>
      <c r="D11" s="14"/>
      <c r="E11" s="14"/>
      <c r="F11" s="14">
        <v>-250</v>
      </c>
      <c r="G11" s="17" t="s">
        <v>104</v>
      </c>
      <c r="H11" s="14" t="s">
        <v>1041</v>
      </c>
      <c r="I11" s="14" t="s">
        <v>49</v>
      </c>
      <c r="J11" s="14"/>
      <c r="K11" s="14"/>
      <c r="L11" s="14">
        <v>250</v>
      </c>
      <c r="M11" s="66" t="s">
        <v>1021</v>
      </c>
      <c r="N11" s="5" t="s">
        <v>57</v>
      </c>
      <c r="O11" s="66" t="s">
        <v>132</v>
      </c>
      <c r="P11" s="66">
        <v>2</v>
      </c>
      <c r="Q11" s="66"/>
    </row>
    <row r="12" spans="1:17" s="1" customFormat="1">
      <c r="A12" s="67" t="s">
        <v>1042</v>
      </c>
      <c r="B12" s="14" t="s">
        <v>14</v>
      </c>
      <c r="C12" s="17" t="s">
        <v>46</v>
      </c>
      <c r="D12" s="14"/>
      <c r="E12" s="14"/>
      <c r="F12" s="17">
        <v>300</v>
      </c>
      <c r="G12" s="17" t="s">
        <v>104</v>
      </c>
      <c r="H12" s="14" t="s">
        <v>1041</v>
      </c>
      <c r="I12" s="14" t="s">
        <v>49</v>
      </c>
      <c r="J12" s="5"/>
      <c r="K12" s="17"/>
      <c r="L12" s="17">
        <v>300</v>
      </c>
      <c r="M12" s="66" t="s">
        <v>1021</v>
      </c>
      <c r="N12" s="5" t="s">
        <v>57</v>
      </c>
      <c r="O12" s="14" t="s">
        <v>132</v>
      </c>
      <c r="P12" s="14">
        <v>2</v>
      </c>
      <c r="Q12" s="14"/>
    </row>
    <row r="13" spans="1:17" s="1" customFormat="1" ht="26.25" customHeight="1">
      <c r="A13" s="28" t="s">
        <v>1043</v>
      </c>
      <c r="B13" s="3" t="s">
        <v>1</v>
      </c>
      <c r="C13" s="3" t="s">
        <v>31</v>
      </c>
      <c r="D13" s="9" t="s">
        <v>32</v>
      </c>
      <c r="E13" s="9" t="s">
        <v>33</v>
      </c>
      <c r="F13" s="3" t="s">
        <v>34</v>
      </c>
      <c r="G13" s="3" t="s">
        <v>3</v>
      </c>
      <c r="H13" s="3" t="s">
        <v>35</v>
      </c>
      <c r="I13" s="3" t="s">
        <v>36</v>
      </c>
      <c r="J13" s="3" t="s">
        <v>37</v>
      </c>
      <c r="K13" s="3" t="s">
        <v>38</v>
      </c>
      <c r="L13" s="3" t="s">
        <v>1018</v>
      </c>
      <c r="M13" s="3" t="s">
        <v>40</v>
      </c>
      <c r="N13" s="9" t="s">
        <v>41</v>
      </c>
      <c r="O13" s="9" t="s">
        <v>42</v>
      </c>
      <c r="P13" s="9" t="s">
        <v>43</v>
      </c>
      <c r="Q13" s="9" t="s">
        <v>1194</v>
      </c>
    </row>
    <row r="14" spans="1:17" s="1" customFormat="1" ht="12">
      <c r="A14" s="30" t="s">
        <v>1044</v>
      </c>
      <c r="B14" s="5" t="s">
        <v>914</v>
      </c>
      <c r="C14" s="17" t="s">
        <v>46</v>
      </c>
      <c r="D14" s="14">
        <v>14.5</v>
      </c>
      <c r="E14" s="14">
        <v>19</v>
      </c>
      <c r="F14" s="7">
        <f>Patient!C12*Patient!C4/1.03</f>
        <v>15.69902912621359</v>
      </c>
      <c r="G14" s="17" t="s">
        <v>270</v>
      </c>
      <c r="H14" s="26" t="s">
        <v>1045</v>
      </c>
      <c r="I14" s="26" t="s">
        <v>49</v>
      </c>
      <c r="J14" s="17"/>
      <c r="K14" s="33" t="s">
        <v>1046</v>
      </c>
      <c r="L14" s="5">
        <v>3140</v>
      </c>
      <c r="M14" s="5" t="s">
        <v>1047</v>
      </c>
      <c r="N14" s="5" t="s">
        <v>51</v>
      </c>
      <c r="O14" s="14" t="s">
        <v>1048</v>
      </c>
      <c r="P14" s="14"/>
      <c r="Q14" s="14"/>
    </row>
    <row r="15" spans="1:17" s="1" customFormat="1" ht="12">
      <c r="A15" s="30" t="s">
        <v>1049</v>
      </c>
      <c r="B15" s="5" t="s">
        <v>17</v>
      </c>
      <c r="C15" s="17" t="s">
        <v>46</v>
      </c>
      <c r="D15" s="14"/>
      <c r="E15" s="14"/>
      <c r="F15" s="7">
        <f>F14*0.135*1000</f>
        <v>2119.3689320388348</v>
      </c>
      <c r="G15" s="17" t="s">
        <v>1023</v>
      </c>
      <c r="H15" s="26" t="s">
        <v>1045</v>
      </c>
      <c r="I15" s="26" t="s">
        <v>49</v>
      </c>
      <c r="J15" s="17"/>
      <c r="K15" s="33" t="s">
        <v>1046</v>
      </c>
      <c r="L15" s="5">
        <v>3140</v>
      </c>
      <c r="M15" s="5" t="s">
        <v>1047</v>
      </c>
      <c r="N15" s="5" t="s">
        <v>71</v>
      </c>
      <c r="O15" s="14" t="s">
        <v>357</v>
      </c>
      <c r="P15" s="14"/>
      <c r="Q15" s="14"/>
    </row>
    <row r="16" spans="1:17" s="1" customFormat="1" ht="12">
      <c r="A16" s="30" t="s">
        <v>1050</v>
      </c>
      <c r="B16" s="5" t="s">
        <v>17</v>
      </c>
      <c r="C16" s="17" t="s">
        <v>46</v>
      </c>
      <c r="D16" s="14"/>
      <c r="E16" s="14"/>
      <c r="F16" s="7">
        <f>F14*0.017*1000</f>
        <v>266.88349514563106</v>
      </c>
      <c r="G16" s="17" t="s">
        <v>1023</v>
      </c>
      <c r="H16" s="26" t="s">
        <v>1045</v>
      </c>
      <c r="I16" s="26" t="s">
        <v>49</v>
      </c>
      <c r="J16" s="17"/>
      <c r="K16" s="33" t="s">
        <v>1046</v>
      </c>
      <c r="L16" s="5">
        <v>3140</v>
      </c>
      <c r="M16" s="5" t="s">
        <v>1047</v>
      </c>
      <c r="N16" s="5" t="s">
        <v>71</v>
      </c>
      <c r="O16" s="14" t="s">
        <v>357</v>
      </c>
      <c r="P16" s="14"/>
      <c r="Q16" s="14"/>
    </row>
    <row r="17" spans="1:17" s="1" customFormat="1" ht="12">
      <c r="A17" s="30" t="s">
        <v>1051</v>
      </c>
      <c r="B17" s="5" t="s">
        <v>914</v>
      </c>
      <c r="C17" s="17" t="s">
        <v>46</v>
      </c>
      <c r="D17" s="14">
        <v>10.5</v>
      </c>
      <c r="E17" s="14">
        <v>7.8</v>
      </c>
      <c r="F17" s="7">
        <f>(IF(Patient!C2="Male",D17,E17)/1.3)*(Patient!C13/Patient!C17)</f>
        <v>8.0769230769230766</v>
      </c>
      <c r="G17" s="17" t="s">
        <v>270</v>
      </c>
      <c r="H17" s="26" t="s">
        <v>1045</v>
      </c>
      <c r="I17" s="26" t="s">
        <v>49</v>
      </c>
      <c r="J17" s="17"/>
      <c r="K17" s="33" t="s">
        <v>1052</v>
      </c>
      <c r="L17" s="5">
        <v>2680</v>
      </c>
      <c r="M17" s="5" t="s">
        <v>1047</v>
      </c>
      <c r="N17" s="5" t="s">
        <v>51</v>
      </c>
      <c r="O17" s="14" t="s">
        <v>1048</v>
      </c>
      <c r="P17" s="14"/>
      <c r="Q17" s="14"/>
    </row>
    <row r="18" spans="1:17" s="1" customFormat="1" ht="12">
      <c r="A18" s="30" t="s">
        <v>1053</v>
      </c>
      <c r="B18" s="5" t="s">
        <v>17</v>
      </c>
      <c r="C18" s="17" t="s">
        <v>46</v>
      </c>
      <c r="D18" s="14"/>
      <c r="E18" s="14"/>
      <c r="F18" s="7">
        <f>F17*0.1*1000</f>
        <v>807.69230769230774</v>
      </c>
      <c r="G18" s="17" t="s">
        <v>1023</v>
      </c>
      <c r="H18" s="26" t="s">
        <v>1045</v>
      </c>
      <c r="I18" s="26" t="s">
        <v>49</v>
      </c>
      <c r="J18" s="17"/>
      <c r="K18" s="33" t="s">
        <v>1052</v>
      </c>
      <c r="L18" s="5">
        <v>2680</v>
      </c>
      <c r="M18" s="5" t="s">
        <v>1047</v>
      </c>
      <c r="N18" s="5" t="s">
        <v>71</v>
      </c>
      <c r="O18" s="14" t="s">
        <v>357</v>
      </c>
      <c r="P18" s="14"/>
      <c r="Q18" s="14"/>
    </row>
    <row r="19" spans="1:17" s="1" customFormat="1" ht="12">
      <c r="A19" s="30" t="s">
        <v>1054</v>
      </c>
      <c r="B19" s="5" t="s">
        <v>17</v>
      </c>
      <c r="C19" s="17" t="s">
        <v>46</v>
      </c>
      <c r="D19" s="14"/>
      <c r="E19" s="14"/>
      <c r="F19" s="7">
        <f>F17*0.346*1000</f>
        <v>2794.6153846153843</v>
      </c>
      <c r="G19" s="17" t="s">
        <v>1023</v>
      </c>
      <c r="H19" s="26" t="s">
        <v>1045</v>
      </c>
      <c r="I19" s="26" t="s">
        <v>49</v>
      </c>
      <c r="J19" s="17"/>
      <c r="K19" s="33" t="s">
        <v>1052</v>
      </c>
      <c r="L19" s="5">
        <v>2680</v>
      </c>
      <c r="M19" s="5" t="s">
        <v>1047</v>
      </c>
      <c r="N19" s="5" t="s">
        <v>71</v>
      </c>
      <c r="O19" s="14" t="s">
        <v>357</v>
      </c>
      <c r="P19" s="14"/>
      <c r="Q19" s="14"/>
    </row>
    <row r="20" spans="1:17" s="1" customFormat="1" ht="12">
      <c r="A20" s="30" t="s">
        <v>1055</v>
      </c>
      <c r="B20" s="5" t="s">
        <v>914</v>
      </c>
      <c r="C20" s="17" t="s">
        <v>46</v>
      </c>
      <c r="D20" s="14">
        <v>1.45</v>
      </c>
      <c r="E20" s="14">
        <v>1.3</v>
      </c>
      <c r="F20" s="7">
        <f>(IF(Patient!C2="Male",D20,E20)/1)*(Patient!C13/Patient!C17)</f>
        <v>1.45</v>
      </c>
      <c r="G20" s="17" t="s">
        <v>270</v>
      </c>
      <c r="H20" s="26" t="s">
        <v>1045</v>
      </c>
      <c r="I20" s="26" t="s">
        <v>49</v>
      </c>
      <c r="J20" s="17"/>
      <c r="K20" s="33" t="s">
        <v>1056</v>
      </c>
      <c r="L20" s="5">
        <v>1020</v>
      </c>
      <c r="M20" s="5" t="s">
        <v>1047</v>
      </c>
      <c r="N20" s="5" t="s">
        <v>51</v>
      </c>
      <c r="O20" s="14" t="s">
        <v>1048</v>
      </c>
      <c r="P20" s="14"/>
      <c r="Q20" s="14"/>
    </row>
    <row r="21" spans="1:17" s="1" customFormat="1" ht="12">
      <c r="A21" s="30" t="s">
        <v>1057</v>
      </c>
      <c r="B21" s="5" t="s">
        <v>17</v>
      </c>
      <c r="C21" s="17" t="s">
        <v>46</v>
      </c>
      <c r="D21" s="14"/>
      <c r="E21" s="14"/>
      <c r="F21" s="7">
        <f>F20*0.162*1000</f>
        <v>234.9</v>
      </c>
      <c r="G21" s="17" t="s">
        <v>1023</v>
      </c>
      <c r="H21" s="26" t="s">
        <v>1045</v>
      </c>
      <c r="I21" s="26" t="s">
        <v>49</v>
      </c>
      <c r="J21" s="17"/>
      <c r="K21" s="33" t="s">
        <v>1056</v>
      </c>
      <c r="L21" s="5">
        <v>1020</v>
      </c>
      <c r="M21" s="5" t="s">
        <v>1047</v>
      </c>
      <c r="N21" s="5" t="s">
        <v>71</v>
      </c>
      <c r="O21" s="14" t="s">
        <v>357</v>
      </c>
      <c r="P21" s="14"/>
      <c r="Q21" s="14"/>
    </row>
    <row r="22" spans="1:17" s="1" customFormat="1" ht="12">
      <c r="A22" s="30" t="s">
        <v>1058</v>
      </c>
      <c r="B22" s="5" t="s">
        <v>17</v>
      </c>
      <c r="C22" s="17" t="s">
        <v>46</v>
      </c>
      <c r="D22" s="14"/>
      <c r="E22" s="14"/>
      <c r="F22" s="7">
        <f>F20*0.62*1000</f>
        <v>899</v>
      </c>
      <c r="G22" s="17" t="s">
        <v>1023</v>
      </c>
      <c r="H22" s="26" t="s">
        <v>1045</v>
      </c>
      <c r="I22" s="26" t="s">
        <v>49</v>
      </c>
      <c r="J22" s="17"/>
      <c r="K22" s="33" t="s">
        <v>1056</v>
      </c>
      <c r="L22" s="5">
        <v>1020</v>
      </c>
      <c r="M22" s="5" t="s">
        <v>1047</v>
      </c>
      <c r="N22" s="5" t="s">
        <v>71</v>
      </c>
      <c r="O22" s="14" t="s">
        <v>357</v>
      </c>
      <c r="P22" s="14"/>
      <c r="Q22" s="14"/>
    </row>
    <row r="23" spans="1:17" s="1" customFormat="1" ht="12">
      <c r="A23" s="30" t="s">
        <v>1059</v>
      </c>
      <c r="B23" s="5" t="s">
        <v>914</v>
      </c>
      <c r="C23" s="17" t="s">
        <v>46</v>
      </c>
      <c r="D23" s="14">
        <v>1.02</v>
      </c>
      <c r="E23" s="14">
        <v>0.96</v>
      </c>
      <c r="F23" s="7">
        <f>(IF(Patient!C2="Male",D23,E23)/1)*(Patient!C13/Patient!C17)</f>
        <v>1.02</v>
      </c>
      <c r="G23" s="17" t="s">
        <v>270</v>
      </c>
      <c r="H23" s="26" t="s">
        <v>1045</v>
      </c>
      <c r="I23" s="26" t="s">
        <v>49</v>
      </c>
      <c r="J23" s="17"/>
      <c r="K23" s="33" t="s">
        <v>1056</v>
      </c>
      <c r="L23" s="5">
        <v>730</v>
      </c>
      <c r="M23" s="5" t="s">
        <v>1047</v>
      </c>
      <c r="N23" s="5" t="s">
        <v>51</v>
      </c>
      <c r="O23" s="14" t="s">
        <v>1048</v>
      </c>
      <c r="P23" s="14"/>
      <c r="Q23" s="14"/>
    </row>
    <row r="24" spans="1:17" s="1" customFormat="1" ht="12">
      <c r="A24" s="30" t="s">
        <v>1060</v>
      </c>
      <c r="B24" s="5" t="s">
        <v>17</v>
      </c>
      <c r="C24" s="17" t="s">
        <v>46</v>
      </c>
      <c r="D24" s="14"/>
      <c r="E24" s="14"/>
      <c r="F24" s="7">
        <f>F23*0.282*1000</f>
        <v>287.63999999999993</v>
      </c>
      <c r="G24" s="17" t="s">
        <v>1023</v>
      </c>
      <c r="H24" s="26" t="s">
        <v>1045</v>
      </c>
      <c r="I24" s="26" t="s">
        <v>49</v>
      </c>
      <c r="J24" s="17"/>
      <c r="K24" s="33" t="s">
        <v>1056</v>
      </c>
      <c r="L24" s="5">
        <v>730</v>
      </c>
      <c r="M24" s="5" t="s">
        <v>1047</v>
      </c>
      <c r="N24" s="5" t="s">
        <v>71</v>
      </c>
      <c r="O24" s="14" t="s">
        <v>357</v>
      </c>
      <c r="P24" s="14"/>
      <c r="Q24" s="14"/>
    </row>
    <row r="25" spans="1:17" s="1" customFormat="1" ht="12">
      <c r="A25" s="30" t="s">
        <v>1061</v>
      </c>
      <c r="B25" s="5" t="s">
        <v>17</v>
      </c>
      <c r="C25" s="17" t="s">
        <v>46</v>
      </c>
      <c r="D25" s="14"/>
      <c r="E25" s="14"/>
      <c r="F25" s="7">
        <f>F23*0.475*1000</f>
        <v>484.5</v>
      </c>
      <c r="G25" s="17" t="s">
        <v>1023</v>
      </c>
      <c r="H25" s="26" t="s">
        <v>1045</v>
      </c>
      <c r="I25" s="26" t="s">
        <v>49</v>
      </c>
      <c r="J25" s="17"/>
      <c r="K25" s="33" t="s">
        <v>1056</v>
      </c>
      <c r="L25" s="5">
        <v>730</v>
      </c>
      <c r="M25" s="5" t="s">
        <v>1047</v>
      </c>
      <c r="N25" s="5" t="s">
        <v>71</v>
      </c>
      <c r="O25" s="14" t="s">
        <v>357</v>
      </c>
      <c r="P25" s="14"/>
      <c r="Q25" s="14"/>
    </row>
    <row r="26" spans="1:17" s="1" customFormat="1" ht="12">
      <c r="A26" s="30" t="s">
        <v>1062</v>
      </c>
      <c r="B26" s="5" t="s">
        <v>914</v>
      </c>
      <c r="C26" s="17" t="s">
        <v>46</v>
      </c>
      <c r="D26" s="14">
        <v>0.155</v>
      </c>
      <c r="E26" s="14">
        <v>0.13750000000000001</v>
      </c>
      <c r="F26" s="7">
        <f>(IF(Patient!C2="Male",D26,E26)/1)*(Patient!C13/Patient!C17)</f>
        <v>0.155</v>
      </c>
      <c r="G26" s="17" t="s">
        <v>270</v>
      </c>
      <c r="H26" s="26" t="s">
        <v>1045</v>
      </c>
      <c r="I26" s="26" t="s">
        <v>49</v>
      </c>
      <c r="J26" s="17"/>
      <c r="K26" s="33" t="s">
        <v>1056</v>
      </c>
      <c r="L26" s="5">
        <v>110</v>
      </c>
      <c r="M26" s="5" t="s">
        <v>1047</v>
      </c>
      <c r="N26" s="5" t="s">
        <v>51</v>
      </c>
      <c r="O26" s="14" t="s">
        <v>1048</v>
      </c>
      <c r="P26" s="14"/>
      <c r="Q26" s="14"/>
    </row>
    <row r="27" spans="1:17" s="1" customFormat="1" ht="12">
      <c r="A27" s="30" t="s">
        <v>1063</v>
      </c>
      <c r="B27" s="5" t="s">
        <v>17</v>
      </c>
      <c r="C27" s="17" t="s">
        <v>46</v>
      </c>
      <c r="D27" s="14"/>
      <c r="E27" s="14"/>
      <c r="F27" s="7">
        <f>F26*0.273*1000</f>
        <v>42.315000000000005</v>
      </c>
      <c r="G27" s="17" t="s">
        <v>1023</v>
      </c>
      <c r="H27" s="26" t="s">
        <v>1045</v>
      </c>
      <c r="I27" s="26" t="s">
        <v>49</v>
      </c>
      <c r="J27" s="17"/>
      <c r="K27" s="33" t="s">
        <v>1056</v>
      </c>
      <c r="L27" s="5">
        <v>110</v>
      </c>
      <c r="M27" s="5" t="s">
        <v>1047</v>
      </c>
      <c r="N27" s="5" t="s">
        <v>71</v>
      </c>
      <c r="O27" s="14" t="s">
        <v>357</v>
      </c>
      <c r="P27" s="14"/>
      <c r="Q27" s="14"/>
    </row>
    <row r="28" spans="1:17" s="1" customFormat="1" ht="12">
      <c r="A28" s="30" t="s">
        <v>1064</v>
      </c>
      <c r="B28" s="5" t="s">
        <v>17</v>
      </c>
      <c r="C28" s="17" t="s">
        <v>46</v>
      </c>
      <c r="D28" s="14"/>
      <c r="E28" s="14"/>
      <c r="F28" s="7">
        <f>F26*0.483*1000</f>
        <v>74.864999999999995</v>
      </c>
      <c r="G28" s="17" t="s">
        <v>1023</v>
      </c>
      <c r="H28" s="26" t="s">
        <v>1045</v>
      </c>
      <c r="I28" s="26" t="s">
        <v>49</v>
      </c>
      <c r="J28" s="17"/>
      <c r="K28" s="33" t="s">
        <v>1056</v>
      </c>
      <c r="L28" s="5">
        <v>110</v>
      </c>
      <c r="M28" s="5" t="s">
        <v>1047</v>
      </c>
      <c r="N28" s="5" t="s">
        <v>71</v>
      </c>
      <c r="O28" s="14" t="s">
        <v>357</v>
      </c>
      <c r="P28" s="14"/>
      <c r="Q28" s="14"/>
    </row>
    <row r="29" spans="1:17" s="1" customFormat="1" ht="12">
      <c r="A29" s="30" t="s">
        <v>1065</v>
      </c>
      <c r="B29" s="5" t="s">
        <v>914</v>
      </c>
      <c r="C29" s="17" t="s">
        <v>46</v>
      </c>
      <c r="D29" s="14">
        <v>0.155</v>
      </c>
      <c r="E29" s="14">
        <v>0.13750000000000001</v>
      </c>
      <c r="F29" s="7">
        <f>(IF(Patient!C2="Male",D29,E29)/1)*(Patient!C13/Patient!C17)</f>
        <v>0.155</v>
      </c>
      <c r="G29" s="17" t="s">
        <v>270</v>
      </c>
      <c r="H29" s="26" t="s">
        <v>1045</v>
      </c>
      <c r="I29" s="26" t="s">
        <v>49</v>
      </c>
      <c r="J29" s="17"/>
      <c r="K29" s="33" t="s">
        <v>1056</v>
      </c>
      <c r="L29" s="5">
        <v>110</v>
      </c>
      <c r="M29" s="5" t="s">
        <v>1047</v>
      </c>
      <c r="N29" s="5" t="s">
        <v>51</v>
      </c>
      <c r="O29" s="14" t="s">
        <v>1048</v>
      </c>
      <c r="P29" s="14"/>
      <c r="Q29" s="14"/>
    </row>
    <row r="30" spans="1:17" s="1" customFormat="1" ht="12">
      <c r="A30" s="30" t="s">
        <v>1066</v>
      </c>
      <c r="B30" s="5" t="s">
        <v>17</v>
      </c>
      <c r="C30" s="17" t="s">
        <v>46</v>
      </c>
      <c r="D30" s="14"/>
      <c r="E30" s="14"/>
      <c r="F30" s="7">
        <f>F26*0.273*1000</f>
        <v>42.315000000000005</v>
      </c>
      <c r="G30" s="17" t="s">
        <v>1023</v>
      </c>
      <c r="H30" s="26" t="s">
        <v>1045</v>
      </c>
      <c r="I30" s="26" t="s">
        <v>49</v>
      </c>
      <c r="J30" s="17"/>
      <c r="K30" s="33" t="s">
        <v>1056</v>
      </c>
      <c r="L30" s="5">
        <v>110</v>
      </c>
      <c r="M30" s="5" t="s">
        <v>1047</v>
      </c>
      <c r="N30" s="5" t="s">
        <v>71</v>
      </c>
      <c r="O30" s="14" t="s">
        <v>357</v>
      </c>
      <c r="P30" s="14"/>
      <c r="Q30" s="14"/>
    </row>
    <row r="31" spans="1:17" s="1" customFormat="1" ht="12">
      <c r="A31" s="30" t="s">
        <v>1067</v>
      </c>
      <c r="B31" s="5" t="s">
        <v>17</v>
      </c>
      <c r="C31" s="17" t="s">
        <v>46</v>
      </c>
      <c r="D31" s="14"/>
      <c r="E31" s="14"/>
      <c r="F31" s="7">
        <f>F26*0.483*1000</f>
        <v>74.864999999999995</v>
      </c>
      <c r="G31" s="17" t="s">
        <v>1023</v>
      </c>
      <c r="H31" s="26" t="s">
        <v>1045</v>
      </c>
      <c r="I31" s="26" t="s">
        <v>49</v>
      </c>
      <c r="J31" s="17"/>
      <c r="K31" s="33" t="s">
        <v>1056</v>
      </c>
      <c r="L31" s="5">
        <v>110</v>
      </c>
      <c r="M31" s="5" t="s">
        <v>1047</v>
      </c>
      <c r="N31" s="5" t="s">
        <v>71</v>
      </c>
      <c r="O31" s="14" t="s">
        <v>357</v>
      </c>
      <c r="P31" s="14"/>
      <c r="Q31" s="14"/>
    </row>
    <row r="32" spans="1:17" s="1" customFormat="1" ht="12">
      <c r="A32" s="30" t="s">
        <v>1068</v>
      </c>
      <c r="B32" s="5" t="s">
        <v>914</v>
      </c>
      <c r="C32" s="17" t="s">
        <v>46</v>
      </c>
      <c r="D32" s="14">
        <v>1.8</v>
      </c>
      <c r="E32" s="14">
        <v>1.4</v>
      </c>
      <c r="F32" s="7">
        <f>(IF(Patient!C2="Male",D32,E32)/1)*(Patient!C13/Patient!C17)</f>
        <v>1.8</v>
      </c>
      <c r="G32" s="17" t="s">
        <v>270</v>
      </c>
      <c r="H32" s="26" t="s">
        <v>1045</v>
      </c>
      <c r="I32" s="26" t="s">
        <v>49</v>
      </c>
      <c r="J32" s="17"/>
      <c r="K32" s="33" t="s">
        <v>1056</v>
      </c>
      <c r="L32" s="5">
        <v>1030</v>
      </c>
      <c r="M32" s="5" t="s">
        <v>1047</v>
      </c>
      <c r="N32" s="5" t="s">
        <v>51</v>
      </c>
      <c r="O32" s="14" t="s">
        <v>1048</v>
      </c>
      <c r="P32" s="14"/>
      <c r="Q32" s="14"/>
    </row>
    <row r="33" spans="1:17" s="1" customFormat="1" ht="12">
      <c r="A33" s="30" t="s">
        <v>1069</v>
      </c>
      <c r="B33" s="5" t="s">
        <v>17</v>
      </c>
      <c r="C33" s="17" t="s">
        <v>46</v>
      </c>
      <c r="D33" s="14"/>
      <c r="E33" s="14"/>
      <c r="F33" s="7">
        <f>F32*0.161*1000</f>
        <v>289.8</v>
      </c>
      <c r="G33" s="17" t="s">
        <v>1023</v>
      </c>
      <c r="H33" s="26" t="s">
        <v>1045</v>
      </c>
      <c r="I33" s="26" t="s">
        <v>49</v>
      </c>
      <c r="J33" s="17"/>
      <c r="K33" s="33" t="s">
        <v>1056</v>
      </c>
      <c r="L33" s="5">
        <v>1030</v>
      </c>
      <c r="M33" s="5" t="s">
        <v>1047</v>
      </c>
      <c r="N33" s="5" t="s">
        <v>71</v>
      </c>
      <c r="O33" s="14" t="s">
        <v>357</v>
      </c>
      <c r="P33" s="14"/>
      <c r="Q33" s="14"/>
    </row>
    <row r="34" spans="1:17" s="1" customFormat="1" ht="12">
      <c r="A34" s="30" t="s">
        <v>1070</v>
      </c>
      <c r="B34" s="5" t="s">
        <v>17</v>
      </c>
      <c r="C34" s="17" t="s">
        <v>46</v>
      </c>
      <c r="D34" s="14"/>
      <c r="E34" s="14"/>
      <c r="F34" s="7">
        <f>F32*0.573*1000</f>
        <v>1031.3999999999999</v>
      </c>
      <c r="G34" s="17" t="s">
        <v>1023</v>
      </c>
      <c r="H34" s="26" t="s">
        <v>1045</v>
      </c>
      <c r="I34" s="26" t="s">
        <v>49</v>
      </c>
      <c r="J34" s="17"/>
      <c r="K34" s="33" t="s">
        <v>1056</v>
      </c>
      <c r="L34" s="5">
        <v>1030</v>
      </c>
      <c r="M34" s="5" t="s">
        <v>1047</v>
      </c>
      <c r="N34" s="5" t="s">
        <v>71</v>
      </c>
      <c r="O34" s="14" t="s">
        <v>357</v>
      </c>
      <c r="P34" s="14"/>
      <c r="Q34" s="14"/>
    </row>
    <row r="35" spans="1:17" s="1" customFormat="1" ht="12">
      <c r="A35" s="30" t="s">
        <v>1071</v>
      </c>
      <c r="B35" s="5" t="s">
        <v>914</v>
      </c>
      <c r="C35" s="17" t="s">
        <v>46</v>
      </c>
      <c r="D35" s="14">
        <f>0.5*Patient!C9</f>
        <v>0.3</v>
      </c>
      <c r="E35" s="14">
        <f>0.5*Patient!C9</f>
        <v>0.3</v>
      </c>
      <c r="F35" s="7">
        <f>(IF(Patient!C2="Male",D35,E35)/1)*(Patient!C13/Patient!C17)</f>
        <v>0.3</v>
      </c>
      <c r="G35" s="17" t="s">
        <v>270</v>
      </c>
      <c r="H35" s="26" t="s">
        <v>1045</v>
      </c>
      <c r="I35" s="26" t="s">
        <v>49</v>
      </c>
      <c r="J35" s="17"/>
      <c r="K35" s="33" t="s">
        <v>1056</v>
      </c>
      <c r="L35" s="5">
        <v>160</v>
      </c>
      <c r="M35" s="5" t="s">
        <v>1047</v>
      </c>
      <c r="N35" s="5" t="s">
        <v>51</v>
      </c>
      <c r="O35" s="14" t="s">
        <v>1048</v>
      </c>
      <c r="P35" s="14"/>
      <c r="Q35" s="14"/>
    </row>
    <row r="36" spans="1:17" s="1" customFormat="1" ht="12">
      <c r="A36" s="30" t="s">
        <v>1072</v>
      </c>
      <c r="B36" s="5" t="s">
        <v>17</v>
      </c>
      <c r="C36" s="17" t="s">
        <v>46</v>
      </c>
      <c r="D36" s="14"/>
      <c r="E36" s="14"/>
      <c r="F36" s="7">
        <f>F35*0.336*1000</f>
        <v>100.8</v>
      </c>
      <c r="G36" s="17" t="s">
        <v>1023</v>
      </c>
      <c r="H36" s="26" t="s">
        <v>1045</v>
      </c>
      <c r="I36" s="26" t="s">
        <v>49</v>
      </c>
      <c r="J36" s="17"/>
      <c r="K36" s="33" t="s">
        <v>1056</v>
      </c>
      <c r="L36" s="5">
        <v>160</v>
      </c>
      <c r="M36" s="5" t="s">
        <v>1047</v>
      </c>
      <c r="N36" s="5" t="s">
        <v>71</v>
      </c>
      <c r="O36" s="14" t="s">
        <v>357</v>
      </c>
      <c r="P36" s="14"/>
      <c r="Q36" s="14"/>
    </row>
    <row r="37" spans="1:17" s="1" customFormat="1" ht="12">
      <c r="A37" s="30" t="s">
        <v>1073</v>
      </c>
      <c r="B37" s="5" t="s">
        <v>17</v>
      </c>
      <c r="C37" s="17" t="s">
        <v>46</v>
      </c>
      <c r="D37" s="14"/>
      <c r="E37" s="14"/>
      <c r="F37" s="7">
        <f>F35*0.446*1000</f>
        <v>133.80000000000001</v>
      </c>
      <c r="G37" s="17" t="s">
        <v>1023</v>
      </c>
      <c r="H37" s="26" t="s">
        <v>1045</v>
      </c>
      <c r="I37" s="26" t="s">
        <v>49</v>
      </c>
      <c r="J37" s="17"/>
      <c r="K37" s="33" t="s">
        <v>1056</v>
      </c>
      <c r="L37" s="5">
        <v>160</v>
      </c>
      <c r="M37" s="5" t="s">
        <v>1047</v>
      </c>
      <c r="N37" s="5" t="s">
        <v>71</v>
      </c>
      <c r="O37" s="14" t="s">
        <v>357</v>
      </c>
      <c r="P37" s="14"/>
      <c r="Q37" s="14"/>
    </row>
    <row r="38" spans="1:17" s="1" customFormat="1" ht="12">
      <c r="A38" s="30" t="s">
        <v>1074</v>
      </c>
      <c r="B38" s="5" t="s">
        <v>914</v>
      </c>
      <c r="C38" s="17" t="s">
        <v>46</v>
      </c>
      <c r="D38" s="14">
        <f>0.5*Patient!C10</f>
        <v>0.2</v>
      </c>
      <c r="E38" s="14">
        <f>0.42*Patient!C10</f>
        <v>0.16800000000000001</v>
      </c>
      <c r="F38" s="7">
        <f>(IF(Patient!C2="Male",D38,E38)/1)*(Patient!C13/Patient!C17)</f>
        <v>0.2</v>
      </c>
      <c r="G38" s="17" t="s">
        <v>270</v>
      </c>
      <c r="H38" s="26" t="s">
        <v>1045</v>
      </c>
      <c r="I38" s="26" t="s">
        <v>49</v>
      </c>
      <c r="J38" s="17"/>
      <c r="K38" s="33" t="s">
        <v>1056</v>
      </c>
      <c r="L38" s="5">
        <v>160</v>
      </c>
      <c r="M38" s="5" t="s">
        <v>1047</v>
      </c>
      <c r="N38" s="5" t="s">
        <v>51</v>
      </c>
      <c r="O38" s="14" t="s">
        <v>1048</v>
      </c>
      <c r="P38" s="14"/>
      <c r="Q38" s="14"/>
    </row>
    <row r="39" spans="1:17" s="1" customFormat="1" ht="12">
      <c r="A39" s="30" t="s">
        <v>1075</v>
      </c>
      <c r="B39" s="5" t="s">
        <v>17</v>
      </c>
      <c r="C39" s="17" t="s">
        <v>46</v>
      </c>
      <c r="D39" s="14"/>
      <c r="E39" s="14"/>
      <c r="F39" s="7">
        <f>F38*0.336*1000</f>
        <v>67.2</v>
      </c>
      <c r="G39" s="17" t="s">
        <v>1023</v>
      </c>
      <c r="H39" s="26" t="s">
        <v>1045</v>
      </c>
      <c r="I39" s="26" t="s">
        <v>49</v>
      </c>
      <c r="J39" s="17"/>
      <c r="K39" s="33" t="s">
        <v>1056</v>
      </c>
      <c r="L39" s="5">
        <v>160</v>
      </c>
      <c r="M39" s="5" t="s">
        <v>1047</v>
      </c>
      <c r="N39" s="5" t="s">
        <v>71</v>
      </c>
      <c r="O39" s="14" t="s">
        <v>357</v>
      </c>
      <c r="P39" s="14"/>
      <c r="Q39" s="14"/>
    </row>
    <row r="40" spans="1:17" s="1" customFormat="1" ht="12">
      <c r="A40" s="30" t="s">
        <v>1076</v>
      </c>
      <c r="B40" s="5" t="s">
        <v>17</v>
      </c>
      <c r="C40" s="17" t="s">
        <v>46</v>
      </c>
      <c r="D40" s="14"/>
      <c r="E40" s="14"/>
      <c r="F40" s="7">
        <f>F38*0.446*1000</f>
        <v>89.2</v>
      </c>
      <c r="G40" s="17" t="s">
        <v>1023</v>
      </c>
      <c r="H40" s="26" t="s">
        <v>1045</v>
      </c>
      <c r="I40" s="26" t="s">
        <v>49</v>
      </c>
      <c r="J40" s="17"/>
      <c r="K40" s="33" t="s">
        <v>1056</v>
      </c>
      <c r="L40" s="5">
        <v>160</v>
      </c>
      <c r="M40" s="5" t="s">
        <v>1047</v>
      </c>
      <c r="N40" s="5" t="s">
        <v>71</v>
      </c>
      <c r="O40" s="14" t="s">
        <v>357</v>
      </c>
      <c r="P40" s="14"/>
      <c r="Q40" s="14"/>
    </row>
    <row r="41" spans="1:17" s="1" customFormat="1" ht="12">
      <c r="A41" s="30" t="s">
        <v>1077</v>
      </c>
      <c r="B41" s="5" t="s">
        <v>914</v>
      </c>
      <c r="C41" s="17" t="s">
        <v>46</v>
      </c>
      <c r="D41" s="14">
        <v>29</v>
      </c>
      <c r="E41" s="14">
        <v>17.5</v>
      </c>
      <c r="F41" s="7">
        <f>(IF(Patient!C2="Male",D41,E41)/1)*(Patient!C13/Patient!C17)</f>
        <v>29</v>
      </c>
      <c r="G41" s="17" t="s">
        <v>270</v>
      </c>
      <c r="H41" s="26" t="s">
        <v>1045</v>
      </c>
      <c r="I41" s="26" t="s">
        <v>49</v>
      </c>
      <c r="J41" s="17"/>
      <c r="K41" s="33" t="s">
        <v>1056</v>
      </c>
      <c r="L41" s="5">
        <v>13090</v>
      </c>
      <c r="M41" s="5" t="s">
        <v>1047</v>
      </c>
      <c r="N41" s="5" t="s">
        <v>51</v>
      </c>
      <c r="O41" s="14" t="s">
        <v>1048</v>
      </c>
      <c r="P41" s="14"/>
      <c r="Q41" s="14"/>
    </row>
    <row r="42" spans="1:17" s="1" customFormat="1" ht="12">
      <c r="A42" s="30" t="s">
        <v>1078</v>
      </c>
      <c r="B42" s="5" t="s">
        <v>17</v>
      </c>
      <c r="C42" s="17" t="s">
        <v>46</v>
      </c>
      <c r="D42" s="14"/>
      <c r="E42" s="14"/>
      <c r="F42" s="7">
        <f>F41*0.118*1000</f>
        <v>3421.9999999999995</v>
      </c>
      <c r="G42" s="17" t="s">
        <v>1023</v>
      </c>
      <c r="H42" s="26" t="s">
        <v>1045</v>
      </c>
      <c r="I42" s="26" t="s">
        <v>49</v>
      </c>
      <c r="J42" s="17"/>
      <c r="K42" s="33" t="s">
        <v>1056</v>
      </c>
      <c r="L42" s="5">
        <v>13090</v>
      </c>
      <c r="M42" s="5" t="s">
        <v>1047</v>
      </c>
      <c r="N42" s="5" t="s">
        <v>71</v>
      </c>
      <c r="O42" s="14" t="s">
        <v>357</v>
      </c>
      <c r="P42" s="14"/>
      <c r="Q42" s="14"/>
    </row>
    <row r="43" spans="1:17" s="1" customFormat="1" ht="12">
      <c r="A43" s="30" t="s">
        <v>1079</v>
      </c>
      <c r="B43" s="5" t="s">
        <v>17</v>
      </c>
      <c r="C43" s="17" t="s">
        <v>46</v>
      </c>
      <c r="D43" s="14"/>
      <c r="E43" s="14"/>
      <c r="F43" s="7">
        <f>F41*0.63*1000</f>
        <v>18270</v>
      </c>
      <c r="G43" s="17" t="s">
        <v>1023</v>
      </c>
      <c r="H43" s="26" t="s">
        <v>1045</v>
      </c>
      <c r="I43" s="26" t="s">
        <v>49</v>
      </c>
      <c r="J43" s="17"/>
      <c r="K43" s="33" t="s">
        <v>1056</v>
      </c>
      <c r="L43" s="5">
        <v>13090</v>
      </c>
      <c r="M43" s="5" t="s">
        <v>1047</v>
      </c>
      <c r="N43" s="5" t="s">
        <v>71</v>
      </c>
      <c r="O43" s="14" t="s">
        <v>357</v>
      </c>
      <c r="P43" s="14"/>
      <c r="Q43" s="14"/>
    </row>
    <row r="44" spans="1:17">
      <c r="A44" s="30" t="s">
        <v>1080</v>
      </c>
      <c r="B44" s="18" t="s">
        <v>89</v>
      </c>
      <c r="C44" s="8" t="s">
        <v>46</v>
      </c>
      <c r="D44" s="14"/>
      <c r="E44" s="14"/>
      <c r="F44" s="52" t="s">
        <v>1081</v>
      </c>
      <c r="G44" s="17" t="s">
        <v>1082</v>
      </c>
      <c r="H44" s="17"/>
      <c r="I44" s="26" t="s">
        <v>49</v>
      </c>
      <c r="J44" s="17"/>
      <c r="K44" s="33"/>
      <c r="L44" s="21"/>
      <c r="M44" s="5" t="s">
        <v>1047</v>
      </c>
      <c r="N44" s="5" t="s">
        <v>71</v>
      </c>
      <c r="O44" s="14" t="s">
        <v>357</v>
      </c>
      <c r="P44" s="14"/>
      <c r="Q44" s="14"/>
    </row>
    <row r="45" spans="1:17">
      <c r="A45" s="30" t="s">
        <v>1083</v>
      </c>
      <c r="B45" s="18" t="s">
        <v>89</v>
      </c>
      <c r="C45" s="8" t="s">
        <v>46</v>
      </c>
      <c r="D45" s="14"/>
      <c r="E45" s="14"/>
      <c r="F45" s="113" t="s">
        <v>1084</v>
      </c>
      <c r="G45" s="17" t="s">
        <v>544</v>
      </c>
      <c r="H45" s="26"/>
      <c r="I45" s="26" t="s">
        <v>49</v>
      </c>
      <c r="J45" s="5"/>
      <c r="K45" s="33" t="s">
        <v>1085</v>
      </c>
      <c r="L45" s="4"/>
      <c r="M45" s="5" t="s">
        <v>1047</v>
      </c>
      <c r="N45" s="5" t="s">
        <v>71</v>
      </c>
      <c r="O45" s="14" t="s">
        <v>357</v>
      </c>
      <c r="P45" s="14"/>
      <c r="Q45" s="14"/>
    </row>
    <row r="46" spans="1:17" s="1" customFormat="1" ht="12">
      <c r="A46" s="30" t="s">
        <v>1086</v>
      </c>
      <c r="B46" s="5" t="s">
        <v>914</v>
      </c>
      <c r="C46" s="17" t="s">
        <v>46</v>
      </c>
      <c r="D46" s="14">
        <v>0.33</v>
      </c>
      <c r="E46" s="14">
        <v>0.25</v>
      </c>
      <c r="F46" s="7">
        <f>(IF(Patient!C2="Male",D46,E46)/1)*(Patient!C13/Patient!C17)</f>
        <v>0.33</v>
      </c>
      <c r="G46" s="17" t="s">
        <v>270</v>
      </c>
      <c r="H46" s="26" t="s">
        <v>1045</v>
      </c>
      <c r="I46" s="26" t="s">
        <v>49</v>
      </c>
      <c r="J46" s="17"/>
      <c r="K46" s="33" t="s">
        <v>1056</v>
      </c>
      <c r="L46" s="5">
        <v>190</v>
      </c>
      <c r="M46" s="5" t="s">
        <v>1047</v>
      </c>
      <c r="N46" s="5" t="s">
        <v>51</v>
      </c>
      <c r="O46" s="14" t="s">
        <v>1048</v>
      </c>
      <c r="P46" s="14"/>
      <c r="Q46" s="14"/>
    </row>
    <row r="47" spans="1:17" s="1" customFormat="1" ht="12">
      <c r="A47" s="30" t="s">
        <v>1087</v>
      </c>
      <c r="B47" s="5" t="s">
        <v>17</v>
      </c>
      <c r="C47" s="17" t="s">
        <v>46</v>
      </c>
      <c r="D47" s="14"/>
      <c r="E47" s="14"/>
      <c r="F47" s="7">
        <f>F46*0.32*1000</f>
        <v>105.60000000000001</v>
      </c>
      <c r="G47" s="17" t="s">
        <v>1023</v>
      </c>
      <c r="H47" s="26" t="s">
        <v>1045</v>
      </c>
      <c r="I47" s="26" t="s">
        <v>49</v>
      </c>
      <c r="J47" s="17"/>
      <c r="K47" s="33" t="s">
        <v>1056</v>
      </c>
      <c r="L47" s="5">
        <v>190</v>
      </c>
      <c r="M47" s="5" t="s">
        <v>1047</v>
      </c>
      <c r="N47" s="5" t="s">
        <v>71</v>
      </c>
      <c r="O47" s="14" t="s">
        <v>357</v>
      </c>
      <c r="P47" s="14"/>
      <c r="Q47" s="14"/>
    </row>
    <row r="48" spans="1:17" s="1" customFormat="1" ht="12">
      <c r="A48" s="30" t="s">
        <v>1088</v>
      </c>
      <c r="B48" s="5" t="s">
        <v>17</v>
      </c>
      <c r="C48" s="17" t="s">
        <v>46</v>
      </c>
      <c r="D48" s="14"/>
      <c r="E48" s="14"/>
      <c r="F48" s="7">
        <f>F46*0.456*1000</f>
        <v>150.47999999999999</v>
      </c>
      <c r="G48" s="17" t="s">
        <v>1023</v>
      </c>
      <c r="H48" s="26" t="s">
        <v>1045</v>
      </c>
      <c r="I48" s="26" t="s">
        <v>49</v>
      </c>
      <c r="J48" s="17"/>
      <c r="K48" s="33" t="s">
        <v>1056</v>
      </c>
      <c r="L48" s="5">
        <v>190</v>
      </c>
      <c r="M48" s="5" t="s">
        <v>1047</v>
      </c>
      <c r="N48" s="5" t="s">
        <v>71</v>
      </c>
      <c r="O48" s="14" t="s">
        <v>357</v>
      </c>
      <c r="P48" s="14"/>
      <c r="Q48" s="14"/>
    </row>
    <row r="49" spans="1:17" s="1" customFormat="1" ht="12">
      <c r="A49" s="30" t="s">
        <v>1089</v>
      </c>
      <c r="B49" s="5" t="s">
        <v>914</v>
      </c>
      <c r="C49" s="17" t="s">
        <v>46</v>
      </c>
      <c r="D49" s="14">
        <v>3.3</v>
      </c>
      <c r="E49" s="14">
        <v>2.2999999999999998</v>
      </c>
      <c r="F49" s="7">
        <f>(IF(Patient!C2="Male",D49,E49)/1)*(Patient!C5/Patient!C15)</f>
        <v>3.1437968084980175</v>
      </c>
      <c r="G49" s="17" t="s">
        <v>270</v>
      </c>
      <c r="H49" s="26" t="s">
        <v>1045</v>
      </c>
      <c r="I49" s="26" t="s">
        <v>49</v>
      </c>
      <c r="J49" s="17"/>
      <c r="K49" s="33" t="s">
        <v>1056</v>
      </c>
      <c r="L49" s="5">
        <v>1550</v>
      </c>
      <c r="M49" s="5" t="s">
        <v>1047</v>
      </c>
      <c r="N49" s="5" t="s">
        <v>51</v>
      </c>
      <c r="O49" s="14" t="s">
        <v>1048</v>
      </c>
      <c r="P49" s="14"/>
      <c r="Q49" s="14"/>
    </row>
    <row r="50" spans="1:17" s="1" customFormat="1" ht="12">
      <c r="A50" s="30" t="s">
        <v>1090</v>
      </c>
      <c r="B50" s="5" t="s">
        <v>17</v>
      </c>
      <c r="C50" s="17" t="s">
        <v>46</v>
      </c>
      <c r="D50" s="14"/>
      <c r="E50" s="14"/>
      <c r="F50" s="7">
        <f>F49*0.382*1000</f>
        <v>1200.9303808462425</v>
      </c>
      <c r="G50" s="17" t="s">
        <v>1023</v>
      </c>
      <c r="H50" s="26" t="s">
        <v>1045</v>
      </c>
      <c r="I50" s="26" t="s">
        <v>49</v>
      </c>
      <c r="J50" s="17"/>
      <c r="K50" s="33" t="s">
        <v>1056</v>
      </c>
      <c r="L50" s="5">
        <v>1550</v>
      </c>
      <c r="M50" s="5" t="s">
        <v>1047</v>
      </c>
      <c r="N50" s="5" t="s">
        <v>71</v>
      </c>
      <c r="O50" s="14" t="s">
        <v>357</v>
      </c>
      <c r="P50" s="14"/>
      <c r="Q50" s="14"/>
    </row>
    <row r="51" spans="1:17" s="1" customFormat="1" ht="12">
      <c r="A51" s="30" t="s">
        <v>1091</v>
      </c>
      <c r="B51" s="5" t="s">
        <v>17</v>
      </c>
      <c r="C51" s="17" t="s">
        <v>46</v>
      </c>
      <c r="D51" s="14"/>
      <c r="E51" s="14"/>
      <c r="F51" s="7">
        <f>F49*0.291*1000</f>
        <v>914.844871272923</v>
      </c>
      <c r="G51" s="17" t="s">
        <v>1023</v>
      </c>
      <c r="H51" s="26" t="s">
        <v>1045</v>
      </c>
      <c r="I51" s="26" t="s">
        <v>49</v>
      </c>
      <c r="J51" s="17"/>
      <c r="K51" s="33" t="s">
        <v>1056</v>
      </c>
      <c r="L51" s="5">
        <v>1550</v>
      </c>
      <c r="M51" s="5" t="s">
        <v>1047</v>
      </c>
      <c r="N51" s="5" t="s">
        <v>71</v>
      </c>
      <c r="O51" s="14" t="s">
        <v>357</v>
      </c>
      <c r="P51" s="14"/>
      <c r="Q51" s="14"/>
    </row>
    <row r="52" spans="1:17" s="1" customFormat="1" ht="12">
      <c r="A52" s="30" t="s">
        <v>1092</v>
      </c>
      <c r="B52" s="5" t="s">
        <v>914</v>
      </c>
      <c r="C52" s="17" t="s">
        <v>46</v>
      </c>
      <c r="D52" s="14">
        <v>0.15</v>
      </c>
      <c r="E52" s="14">
        <v>0.13</v>
      </c>
      <c r="F52" s="7">
        <f>(IF(Patient!C2="Male",D52,E52)/1)*(Patient!C13/Patient!C17)</f>
        <v>0.15</v>
      </c>
      <c r="G52" s="17" t="s">
        <v>270</v>
      </c>
      <c r="H52" s="26" t="s">
        <v>1045</v>
      </c>
      <c r="I52" s="26" t="s">
        <v>49</v>
      </c>
      <c r="J52" s="17"/>
      <c r="K52" s="33" t="s">
        <v>1056</v>
      </c>
      <c r="L52" s="5">
        <v>100</v>
      </c>
      <c r="M52" s="5" t="s">
        <v>1047</v>
      </c>
      <c r="N52" s="5" t="s">
        <v>51</v>
      </c>
      <c r="O52" s="14" t="s">
        <v>1048</v>
      </c>
      <c r="P52" s="14"/>
      <c r="Q52" s="14"/>
    </row>
    <row r="53" spans="1:17" s="1" customFormat="1" ht="12">
      <c r="A53" s="30" t="s">
        <v>1093</v>
      </c>
      <c r="B53" s="5" t="s">
        <v>17</v>
      </c>
      <c r="C53" s="17" t="s">
        <v>46</v>
      </c>
      <c r="D53" s="14"/>
      <c r="E53" s="14"/>
      <c r="F53" s="7">
        <f>F52*0.207*1000</f>
        <v>31.049999999999997</v>
      </c>
      <c r="G53" s="17" t="s">
        <v>1023</v>
      </c>
      <c r="H53" s="26" t="s">
        <v>1045</v>
      </c>
      <c r="I53" s="26" t="s">
        <v>49</v>
      </c>
      <c r="J53" s="17"/>
      <c r="K53" s="33" t="s">
        <v>1056</v>
      </c>
      <c r="L53" s="5">
        <v>100</v>
      </c>
      <c r="M53" s="5" t="s">
        <v>1047</v>
      </c>
      <c r="N53" s="5" t="s">
        <v>71</v>
      </c>
      <c r="O53" s="14" t="s">
        <v>357</v>
      </c>
      <c r="P53" s="14"/>
      <c r="Q53" s="14"/>
    </row>
    <row r="54" spans="1:17" s="1" customFormat="1" ht="12">
      <c r="A54" s="30" t="s">
        <v>1094</v>
      </c>
      <c r="B54" s="5" t="s">
        <v>17</v>
      </c>
      <c r="C54" s="17" t="s">
        <v>46</v>
      </c>
      <c r="D54" s="14"/>
      <c r="E54" s="14"/>
      <c r="F54" s="7">
        <f>F52*0.579*1000</f>
        <v>86.85</v>
      </c>
      <c r="G54" s="17" t="s">
        <v>1023</v>
      </c>
      <c r="H54" s="26" t="s">
        <v>1045</v>
      </c>
      <c r="I54" s="26" t="s">
        <v>49</v>
      </c>
      <c r="J54" s="17"/>
      <c r="K54" s="33" t="s">
        <v>1056</v>
      </c>
      <c r="L54" s="5">
        <v>100</v>
      </c>
      <c r="M54" s="5" t="s">
        <v>1047</v>
      </c>
      <c r="N54" s="5" t="s">
        <v>71</v>
      </c>
      <c r="O54" s="14" t="s">
        <v>357</v>
      </c>
      <c r="P54" s="14"/>
      <c r="Q54" s="14"/>
    </row>
    <row r="55" spans="1:17" ht="24">
      <c r="A55" s="28" t="s">
        <v>1095</v>
      </c>
      <c r="B55" s="3" t="s">
        <v>1</v>
      </c>
      <c r="C55" s="9" t="s">
        <v>31</v>
      </c>
      <c r="D55" s="9" t="s">
        <v>32</v>
      </c>
      <c r="E55" s="9" t="s">
        <v>33</v>
      </c>
      <c r="F55" s="9" t="s">
        <v>124</v>
      </c>
      <c r="G55" s="29" t="s">
        <v>125</v>
      </c>
      <c r="H55" s="29" t="s">
        <v>126</v>
      </c>
      <c r="I55" s="3" t="s">
        <v>36</v>
      </c>
      <c r="J55" s="3" t="s">
        <v>37</v>
      </c>
      <c r="K55" s="3" t="s">
        <v>38</v>
      </c>
      <c r="L55" s="29" t="s">
        <v>39</v>
      </c>
      <c r="M55" s="9" t="s">
        <v>40</v>
      </c>
      <c r="N55" s="9" t="s">
        <v>41</v>
      </c>
      <c r="O55" s="9" t="s">
        <v>42</v>
      </c>
      <c r="P55" s="9" t="s">
        <v>43</v>
      </c>
      <c r="Q55" s="9" t="s">
        <v>1194</v>
      </c>
    </row>
    <row r="56" spans="1:17" ht="24.75">
      <c r="A56" s="30" t="s">
        <v>1096</v>
      </c>
      <c r="B56" s="18" t="s">
        <v>89</v>
      </c>
      <c r="C56" s="8" t="s">
        <v>46</v>
      </c>
      <c r="D56" s="14"/>
      <c r="E56" s="14"/>
      <c r="F56" s="18" t="s">
        <v>1097</v>
      </c>
      <c r="G56" s="18" t="s">
        <v>143</v>
      </c>
      <c r="H56" s="18"/>
      <c r="I56" s="18" t="s">
        <v>49</v>
      </c>
      <c r="J56" s="18"/>
      <c r="K56" s="114" t="s">
        <v>1098</v>
      </c>
      <c r="L56" s="14"/>
      <c r="M56" s="5" t="s">
        <v>1099</v>
      </c>
      <c r="N56" s="5" t="s">
        <v>71</v>
      </c>
      <c r="O56" s="14" t="s">
        <v>1048</v>
      </c>
      <c r="P56" s="14"/>
      <c r="Q56" s="14"/>
    </row>
    <row r="57" spans="1:17">
      <c r="A57" s="30" t="s">
        <v>1100</v>
      </c>
      <c r="B57" s="18" t="s">
        <v>89</v>
      </c>
      <c r="C57" s="8" t="s">
        <v>46</v>
      </c>
      <c r="D57" s="14"/>
      <c r="E57" s="14"/>
      <c r="F57" s="8">
        <v>0</v>
      </c>
      <c r="G57" s="18"/>
      <c r="H57" s="8"/>
      <c r="I57" s="18" t="s">
        <v>49</v>
      </c>
      <c r="J57" s="8"/>
      <c r="K57" s="8"/>
      <c r="L57" s="35" t="s">
        <v>1025</v>
      </c>
      <c r="M57" s="5" t="s">
        <v>1099</v>
      </c>
      <c r="N57" s="5" t="s">
        <v>71</v>
      </c>
      <c r="O57" s="14" t="s">
        <v>1048</v>
      </c>
      <c r="P57" s="14"/>
      <c r="Q57" s="14"/>
    </row>
    <row r="58" spans="1:17">
      <c r="A58" s="30" t="s">
        <v>1101</v>
      </c>
      <c r="B58" s="18" t="s">
        <v>89</v>
      </c>
      <c r="C58" s="8" t="s">
        <v>46</v>
      </c>
      <c r="D58" s="14"/>
      <c r="E58" s="14"/>
      <c r="F58" s="17">
        <v>25</v>
      </c>
      <c r="G58" s="18" t="s">
        <v>1102</v>
      </c>
      <c r="H58" s="17" t="s">
        <v>1103</v>
      </c>
      <c r="I58" s="18" t="s">
        <v>49</v>
      </c>
      <c r="J58" s="17"/>
      <c r="K58" s="19"/>
      <c r="L58" s="12" t="s">
        <v>1027</v>
      </c>
      <c r="M58" s="5" t="s">
        <v>1099</v>
      </c>
      <c r="N58" s="5" t="s">
        <v>71</v>
      </c>
      <c r="O58" s="14" t="s">
        <v>1048</v>
      </c>
      <c r="P58" s="14"/>
      <c r="Q58" s="14"/>
    </row>
    <row r="59" spans="1:17">
      <c r="A59" s="30" t="s">
        <v>1104</v>
      </c>
      <c r="B59" s="18" t="s">
        <v>89</v>
      </c>
      <c r="C59" s="8" t="s">
        <v>46</v>
      </c>
      <c r="D59" s="14"/>
      <c r="E59" s="14"/>
      <c r="F59" s="17">
        <v>1.2</v>
      </c>
      <c r="G59" s="18" t="s">
        <v>1102</v>
      </c>
      <c r="H59" s="17" t="s">
        <v>1103</v>
      </c>
      <c r="I59" s="18" t="s">
        <v>49</v>
      </c>
      <c r="J59" s="17"/>
      <c r="K59" s="19"/>
      <c r="L59" s="8" t="s">
        <v>1032</v>
      </c>
      <c r="M59" s="5" t="s">
        <v>1099</v>
      </c>
      <c r="N59" s="5" t="s">
        <v>71</v>
      </c>
      <c r="O59" s="14" t="s">
        <v>1048</v>
      </c>
      <c r="P59" s="14"/>
      <c r="Q59" s="14"/>
    </row>
    <row r="60" spans="1:17" ht="24">
      <c r="A60" s="30" t="s">
        <v>1105</v>
      </c>
      <c r="B60" s="115" t="s">
        <v>89</v>
      </c>
      <c r="C60" s="116" t="s">
        <v>46</v>
      </c>
      <c r="D60" s="115"/>
      <c r="E60" s="115"/>
      <c r="F60" s="116" t="s">
        <v>1106</v>
      </c>
      <c r="G60" s="115"/>
      <c r="H60" s="116"/>
      <c r="I60" s="116" t="s">
        <v>49</v>
      </c>
      <c r="J60" s="116"/>
      <c r="K60" s="116" t="s">
        <v>1107</v>
      </c>
      <c r="L60" s="8"/>
      <c r="M60" s="5" t="s">
        <v>1099</v>
      </c>
      <c r="N60" s="5" t="s">
        <v>71</v>
      </c>
      <c r="O60" s="14" t="s">
        <v>1048</v>
      </c>
      <c r="P60" s="14"/>
      <c r="Q60" s="14"/>
    </row>
    <row r="61" spans="1:17">
      <c r="A61" s="30" t="s">
        <v>1108</v>
      </c>
      <c r="B61" s="18" t="s">
        <v>89</v>
      </c>
      <c r="C61" s="8" t="s">
        <v>46</v>
      </c>
      <c r="D61" s="14"/>
      <c r="E61" s="14"/>
      <c r="F61" s="20">
        <v>116</v>
      </c>
      <c r="G61" s="18" t="s">
        <v>1102</v>
      </c>
      <c r="H61" s="17" t="s">
        <v>1103</v>
      </c>
      <c r="I61" s="18" t="s">
        <v>49</v>
      </c>
      <c r="J61" s="17"/>
      <c r="K61" s="33"/>
      <c r="L61" s="14"/>
      <c r="M61" s="5" t="s">
        <v>1099</v>
      </c>
      <c r="N61" s="5" t="s">
        <v>71</v>
      </c>
      <c r="O61" s="14" t="s">
        <v>1048</v>
      </c>
      <c r="P61" s="14"/>
      <c r="Q61" s="14"/>
    </row>
    <row r="62" spans="1:17" ht="36.75">
      <c r="A62" s="30" t="s">
        <v>1109</v>
      </c>
      <c r="B62" s="115"/>
      <c r="C62" s="116"/>
      <c r="D62" s="115"/>
      <c r="E62" s="115"/>
      <c r="F62" s="115"/>
      <c r="G62" s="115"/>
      <c r="H62" s="115"/>
      <c r="I62" s="115" t="s">
        <v>49</v>
      </c>
      <c r="J62" s="116"/>
      <c r="K62" s="117" t="s">
        <v>1110</v>
      </c>
      <c r="L62" s="14"/>
      <c r="M62" s="5" t="s">
        <v>1099</v>
      </c>
      <c r="N62" s="5" t="s">
        <v>71</v>
      </c>
      <c r="O62" s="14" t="s">
        <v>1048</v>
      </c>
      <c r="P62" s="14"/>
      <c r="Q62" s="14"/>
    </row>
    <row r="63" spans="1:17" ht="72.75">
      <c r="A63" s="30" t="s">
        <v>1111</v>
      </c>
      <c r="B63" s="17" t="s">
        <v>1112</v>
      </c>
      <c r="C63" s="8" t="s">
        <v>46</v>
      </c>
      <c r="D63" s="14"/>
      <c r="E63" s="14"/>
      <c r="F63" s="8" t="s">
        <v>1113</v>
      </c>
      <c r="G63" s="17" t="s">
        <v>1114</v>
      </c>
      <c r="H63" s="17" t="s">
        <v>1115</v>
      </c>
      <c r="I63" s="18" t="s">
        <v>49</v>
      </c>
      <c r="J63" s="17"/>
      <c r="K63" s="114" t="s">
        <v>1116</v>
      </c>
      <c r="L63" s="4"/>
      <c r="M63" s="5" t="s">
        <v>1099</v>
      </c>
      <c r="N63" s="5" t="s">
        <v>71</v>
      </c>
      <c r="O63" s="14" t="s">
        <v>1048</v>
      </c>
      <c r="P63" s="14"/>
      <c r="Q63" s="14"/>
    </row>
    <row r="64" spans="1:17">
      <c r="A64" s="30" t="s">
        <v>1117</v>
      </c>
      <c r="B64" s="18" t="s">
        <v>89</v>
      </c>
      <c r="C64" s="8" t="s">
        <v>46</v>
      </c>
      <c r="D64" s="14"/>
      <c r="E64" s="14"/>
      <c r="F64" s="8">
        <v>5.9</v>
      </c>
      <c r="G64" s="17" t="s">
        <v>1102</v>
      </c>
      <c r="H64" s="17" t="s">
        <v>1103</v>
      </c>
      <c r="I64" s="18" t="s">
        <v>49</v>
      </c>
      <c r="J64" s="17"/>
      <c r="K64" s="33"/>
      <c r="L64" s="21"/>
      <c r="M64" s="5" t="s">
        <v>1099</v>
      </c>
      <c r="N64" s="5" t="s">
        <v>71</v>
      </c>
      <c r="O64" s="14" t="s">
        <v>1048</v>
      </c>
      <c r="P64" s="14"/>
      <c r="Q64" s="14"/>
    </row>
    <row r="65" spans="1:17">
      <c r="A65" s="30" t="s">
        <v>1118</v>
      </c>
      <c r="B65" s="18" t="s">
        <v>89</v>
      </c>
      <c r="C65" s="8" t="s">
        <v>46</v>
      </c>
      <c r="D65" s="14"/>
      <c r="E65" s="14"/>
      <c r="F65" s="26">
        <v>0</v>
      </c>
      <c r="G65" s="17"/>
      <c r="H65" s="26"/>
      <c r="I65" s="18" t="s">
        <v>49</v>
      </c>
      <c r="J65" s="26"/>
      <c r="K65" s="33" t="s">
        <v>1119</v>
      </c>
      <c r="L65" s="4"/>
      <c r="M65" s="5" t="s">
        <v>1099</v>
      </c>
      <c r="N65" s="5" t="s">
        <v>71</v>
      </c>
      <c r="O65" s="14" t="s">
        <v>1048</v>
      </c>
      <c r="P65" s="14"/>
      <c r="Q65" s="14"/>
    </row>
    <row r="66" spans="1:17" ht="24.75">
      <c r="A66" s="30" t="s">
        <v>1120</v>
      </c>
      <c r="B66" s="26" t="s">
        <v>1112</v>
      </c>
      <c r="C66" s="8" t="s">
        <v>46</v>
      </c>
      <c r="D66" s="14"/>
      <c r="E66" s="14"/>
      <c r="F66" s="26" t="s">
        <v>1121</v>
      </c>
      <c r="G66" s="17" t="s">
        <v>1122</v>
      </c>
      <c r="H66" s="26" t="s">
        <v>1123</v>
      </c>
      <c r="I66" s="18" t="s">
        <v>49</v>
      </c>
      <c r="J66" s="5"/>
      <c r="K66" s="114" t="s">
        <v>1098</v>
      </c>
      <c r="L66" s="4"/>
      <c r="M66" s="5" t="s">
        <v>1099</v>
      </c>
      <c r="N66" s="5" t="s">
        <v>71</v>
      </c>
      <c r="O66" s="14" t="s">
        <v>1048</v>
      </c>
      <c r="P66" s="14"/>
      <c r="Q66" s="14"/>
    </row>
    <row r="67" spans="1:17" ht="48.75">
      <c r="A67" s="30" t="s">
        <v>1124</v>
      </c>
      <c r="B67" s="18" t="s">
        <v>89</v>
      </c>
      <c r="C67" s="8" t="s">
        <v>46</v>
      </c>
      <c r="D67" s="14"/>
      <c r="E67" s="14"/>
      <c r="F67" s="26" t="s">
        <v>1125</v>
      </c>
      <c r="G67" s="17" t="s">
        <v>1126</v>
      </c>
      <c r="H67" s="26" t="s">
        <v>1127</v>
      </c>
      <c r="I67" s="18" t="s">
        <v>49</v>
      </c>
      <c r="J67" s="5"/>
      <c r="K67" s="33" t="s">
        <v>1128</v>
      </c>
      <c r="L67" s="4"/>
      <c r="M67" s="5" t="s">
        <v>1099</v>
      </c>
      <c r="N67" s="5" t="s">
        <v>71</v>
      </c>
      <c r="O67" s="14" t="s">
        <v>1048</v>
      </c>
      <c r="P67" s="14"/>
      <c r="Q67" s="14"/>
    </row>
    <row r="68" spans="1:17" ht="24">
      <c r="A68" s="30" t="s">
        <v>1129</v>
      </c>
      <c r="B68" s="115"/>
      <c r="C68" s="116"/>
      <c r="D68" s="115"/>
      <c r="E68" s="115"/>
      <c r="F68" s="116"/>
      <c r="G68" s="116"/>
      <c r="H68" s="116"/>
      <c r="I68" s="116" t="s">
        <v>49</v>
      </c>
      <c r="J68" s="116"/>
      <c r="K68" s="115" t="s">
        <v>1130</v>
      </c>
      <c r="L68" s="4"/>
      <c r="M68" s="5" t="s">
        <v>1099</v>
      </c>
      <c r="N68" s="5" t="s">
        <v>71</v>
      </c>
      <c r="O68" s="14" t="s">
        <v>1048</v>
      </c>
      <c r="P68" s="14"/>
      <c r="Q68" s="14"/>
    </row>
    <row r="69" spans="1:17">
      <c r="A69" s="30" t="s">
        <v>1131</v>
      </c>
      <c r="B69" s="18" t="s">
        <v>1112</v>
      </c>
      <c r="C69" s="8" t="s">
        <v>46</v>
      </c>
      <c r="D69" s="14"/>
      <c r="E69" s="14"/>
      <c r="F69" s="26" t="s">
        <v>1132</v>
      </c>
      <c r="G69" s="17" t="s">
        <v>1126</v>
      </c>
      <c r="H69" s="26" t="s">
        <v>1133</v>
      </c>
      <c r="I69" s="18" t="s">
        <v>49</v>
      </c>
      <c r="J69" s="8"/>
      <c r="K69" s="26"/>
      <c r="L69" s="4"/>
      <c r="M69" s="5" t="s">
        <v>1099</v>
      </c>
      <c r="N69" s="5" t="s">
        <v>71</v>
      </c>
      <c r="O69" s="14" t="s">
        <v>1048</v>
      </c>
      <c r="P69" s="14"/>
      <c r="Q69" s="14"/>
    </row>
    <row r="70" spans="1:17" ht="24">
      <c r="A70" s="30" t="s">
        <v>1134</v>
      </c>
      <c r="B70" s="18" t="s">
        <v>89</v>
      </c>
      <c r="C70" s="8" t="s">
        <v>46</v>
      </c>
      <c r="D70" s="14"/>
      <c r="E70" s="14"/>
      <c r="F70" s="8" t="s">
        <v>1135</v>
      </c>
      <c r="G70" s="17"/>
      <c r="H70" s="8"/>
      <c r="I70" s="18" t="s">
        <v>49</v>
      </c>
      <c r="J70" s="8"/>
      <c r="K70" s="116" t="s">
        <v>1107</v>
      </c>
      <c r="L70" s="4"/>
      <c r="M70" s="5" t="s">
        <v>1099</v>
      </c>
      <c r="N70" s="5" t="s">
        <v>71</v>
      </c>
      <c r="O70" s="14" t="s">
        <v>1048</v>
      </c>
      <c r="P70" s="14"/>
      <c r="Q70" s="14"/>
    </row>
    <row r="71" spans="1:17">
      <c r="A71" s="10" t="s">
        <v>1136</v>
      </c>
      <c r="B71" s="18" t="s">
        <v>89</v>
      </c>
      <c r="C71" s="8" t="s">
        <v>46</v>
      </c>
      <c r="D71" s="14"/>
      <c r="E71" s="14"/>
      <c r="F71" s="18">
        <v>4.5</v>
      </c>
      <c r="G71" s="18" t="s">
        <v>1102</v>
      </c>
      <c r="H71" s="18" t="s">
        <v>1103</v>
      </c>
      <c r="I71" s="18" t="s">
        <v>49</v>
      </c>
      <c r="J71" s="26"/>
      <c r="K71" s="33"/>
      <c r="L71" s="4"/>
      <c r="M71" s="5" t="s">
        <v>1099</v>
      </c>
      <c r="N71" s="5" t="s">
        <v>71</v>
      </c>
      <c r="O71" s="14" t="s">
        <v>1048</v>
      </c>
      <c r="P71" s="14"/>
      <c r="Q71" s="14"/>
    </row>
    <row r="72" spans="1:17">
      <c r="A72" s="30" t="s">
        <v>1137</v>
      </c>
      <c r="B72" s="18" t="s">
        <v>89</v>
      </c>
      <c r="C72" s="8" t="s">
        <v>46</v>
      </c>
      <c r="D72" s="14"/>
      <c r="E72" s="14"/>
      <c r="F72" s="26">
        <v>145</v>
      </c>
      <c r="G72" s="17" t="s">
        <v>1102</v>
      </c>
      <c r="H72" s="26" t="s">
        <v>1103</v>
      </c>
      <c r="I72" s="18" t="s">
        <v>49</v>
      </c>
      <c r="J72" s="26"/>
      <c r="K72" s="33"/>
      <c r="L72" s="4"/>
      <c r="M72" s="5" t="s">
        <v>1099</v>
      </c>
      <c r="N72" s="5" t="s">
        <v>71</v>
      </c>
      <c r="O72" s="14" t="s">
        <v>1048</v>
      </c>
      <c r="P72" s="14"/>
      <c r="Q72" s="14"/>
    </row>
    <row r="73" spans="1:17">
      <c r="A73" s="30" t="s">
        <v>1138</v>
      </c>
      <c r="B73" s="36" t="s">
        <v>89</v>
      </c>
      <c r="C73" s="35" t="s">
        <v>46</v>
      </c>
      <c r="D73" s="36"/>
      <c r="E73" s="36"/>
      <c r="F73" s="36"/>
      <c r="G73" s="36"/>
      <c r="H73" s="36"/>
      <c r="I73" s="36" t="s">
        <v>49</v>
      </c>
      <c r="J73" s="118"/>
      <c r="K73" s="114" t="s">
        <v>1139</v>
      </c>
      <c r="L73" s="4"/>
      <c r="M73" s="5" t="s">
        <v>1099</v>
      </c>
      <c r="N73" s="5" t="s">
        <v>71</v>
      </c>
      <c r="O73" s="14" t="s">
        <v>1048</v>
      </c>
      <c r="P73" s="14"/>
      <c r="Q73" s="14"/>
    </row>
    <row r="74" spans="1:17" ht="36">
      <c r="A74" s="30" t="s">
        <v>1140</v>
      </c>
      <c r="B74" s="26" t="s">
        <v>66</v>
      </c>
      <c r="C74" s="8" t="s">
        <v>46</v>
      </c>
      <c r="D74" s="14"/>
      <c r="E74" s="14"/>
      <c r="F74" s="26" t="s">
        <v>193</v>
      </c>
      <c r="G74" s="26" t="s">
        <v>194</v>
      </c>
      <c r="H74" s="26"/>
      <c r="I74" s="18" t="s">
        <v>49</v>
      </c>
      <c r="J74" s="119"/>
      <c r="K74" s="47" t="s">
        <v>1141</v>
      </c>
      <c r="L74" s="4"/>
      <c r="M74" s="5" t="s">
        <v>1099</v>
      </c>
      <c r="N74" s="5" t="s">
        <v>71</v>
      </c>
      <c r="O74" s="14" t="s">
        <v>1048</v>
      </c>
      <c r="P74" s="14"/>
      <c r="Q74" s="14"/>
    </row>
    <row r="75" spans="1:17" ht="24.75">
      <c r="A75" s="30" t="s">
        <v>1142</v>
      </c>
      <c r="B75" s="18" t="s">
        <v>89</v>
      </c>
      <c r="C75" s="8" t="s">
        <v>46</v>
      </c>
      <c r="D75" s="14"/>
      <c r="E75" s="14"/>
      <c r="F75" s="18" t="s">
        <v>1097</v>
      </c>
      <c r="G75" s="18"/>
      <c r="H75" s="18"/>
      <c r="I75" s="18" t="s">
        <v>49</v>
      </c>
      <c r="J75" s="18"/>
      <c r="K75" s="114" t="s">
        <v>1098</v>
      </c>
      <c r="L75" s="4"/>
      <c r="M75" s="5" t="s">
        <v>1099</v>
      </c>
      <c r="N75" s="5" t="s">
        <v>71</v>
      </c>
      <c r="O75" s="14" t="s">
        <v>1048</v>
      </c>
      <c r="P75" s="14"/>
      <c r="Q75" s="14"/>
    </row>
    <row r="76" spans="1:17">
      <c r="A76" s="30" t="s">
        <v>1143</v>
      </c>
      <c r="B76" s="18" t="s">
        <v>89</v>
      </c>
      <c r="C76" s="8" t="s">
        <v>46</v>
      </c>
      <c r="D76" s="14"/>
      <c r="E76" s="14"/>
      <c r="F76" s="8">
        <v>0</v>
      </c>
      <c r="G76" s="18"/>
      <c r="H76" s="8"/>
      <c r="I76" s="18" t="s">
        <v>49</v>
      </c>
      <c r="J76" s="8"/>
      <c r="K76" s="35" t="s">
        <v>1144</v>
      </c>
      <c r="L76" s="4"/>
      <c r="M76" s="5" t="s">
        <v>1099</v>
      </c>
      <c r="N76" s="5" t="s">
        <v>71</v>
      </c>
      <c r="O76" s="14" t="s">
        <v>1048</v>
      </c>
      <c r="P76" s="14"/>
      <c r="Q76" s="14"/>
    </row>
    <row r="77" spans="1:17">
      <c r="A77" s="30" t="s">
        <v>1145</v>
      </c>
      <c r="B77" s="18" t="s">
        <v>89</v>
      </c>
      <c r="C77" s="8" t="s">
        <v>46</v>
      </c>
      <c r="D77" s="14"/>
      <c r="E77" s="14"/>
      <c r="F77" s="17">
        <v>16</v>
      </c>
      <c r="G77" s="18" t="s">
        <v>1102</v>
      </c>
      <c r="H77" s="17" t="s">
        <v>1103</v>
      </c>
      <c r="I77" s="18" t="s">
        <v>49</v>
      </c>
      <c r="J77" s="17"/>
      <c r="K77" s="19"/>
      <c r="L77" s="4"/>
      <c r="M77" s="5" t="s">
        <v>1099</v>
      </c>
      <c r="N77" s="5" t="s">
        <v>71</v>
      </c>
      <c r="O77" s="14" t="s">
        <v>1048</v>
      </c>
      <c r="P77" s="14"/>
      <c r="Q77" s="14"/>
    </row>
    <row r="78" spans="1:17">
      <c r="A78" s="30" t="s">
        <v>1146</v>
      </c>
      <c r="B78" s="18" t="s">
        <v>89</v>
      </c>
      <c r="C78" s="8" t="s">
        <v>46</v>
      </c>
      <c r="D78" s="14"/>
      <c r="E78" s="14"/>
      <c r="F78" s="17">
        <v>1E-4</v>
      </c>
      <c r="G78" s="18" t="s">
        <v>1102</v>
      </c>
      <c r="H78" s="17" t="s">
        <v>1103</v>
      </c>
      <c r="I78" s="18" t="s">
        <v>49</v>
      </c>
      <c r="J78" s="17"/>
      <c r="K78" s="19"/>
      <c r="L78" s="4"/>
      <c r="M78" s="5" t="s">
        <v>1099</v>
      </c>
      <c r="N78" s="5" t="s">
        <v>71</v>
      </c>
      <c r="O78" s="14" t="s">
        <v>1048</v>
      </c>
      <c r="P78" s="14"/>
      <c r="Q78" s="14"/>
    </row>
    <row r="79" spans="1:17" ht="24">
      <c r="A79" s="30" t="s">
        <v>1147</v>
      </c>
      <c r="B79" s="115" t="s">
        <v>89</v>
      </c>
      <c r="C79" s="116" t="s">
        <v>46</v>
      </c>
      <c r="D79" s="115"/>
      <c r="E79" s="115"/>
      <c r="F79" s="116" t="s">
        <v>1106</v>
      </c>
      <c r="G79" s="115"/>
      <c r="H79" s="116"/>
      <c r="I79" s="116" t="s">
        <v>49</v>
      </c>
      <c r="J79" s="116"/>
      <c r="K79" s="116" t="s">
        <v>1107</v>
      </c>
      <c r="L79" s="4"/>
      <c r="M79" s="5" t="s">
        <v>1099</v>
      </c>
      <c r="N79" s="5" t="s">
        <v>71</v>
      </c>
      <c r="O79" s="14" t="s">
        <v>1048</v>
      </c>
      <c r="P79" s="14"/>
      <c r="Q79" s="14"/>
    </row>
    <row r="80" spans="1:17">
      <c r="A80" s="30" t="s">
        <v>1148</v>
      </c>
      <c r="B80" s="18" t="s">
        <v>89</v>
      </c>
      <c r="C80" s="8" t="s">
        <v>46</v>
      </c>
      <c r="D80" s="14"/>
      <c r="E80" s="14"/>
      <c r="F80" s="20">
        <v>20</v>
      </c>
      <c r="G80" s="18" t="s">
        <v>1102</v>
      </c>
      <c r="H80" s="17" t="s">
        <v>1103</v>
      </c>
      <c r="I80" s="18" t="s">
        <v>49</v>
      </c>
      <c r="J80" s="17"/>
      <c r="K80" s="33"/>
      <c r="L80" s="4"/>
      <c r="M80" s="5" t="s">
        <v>1099</v>
      </c>
      <c r="N80" s="5" t="s">
        <v>71</v>
      </c>
      <c r="O80" s="14" t="s">
        <v>1048</v>
      </c>
      <c r="P80" s="14"/>
      <c r="Q80" s="14"/>
    </row>
    <row r="81" spans="1:17" ht="36.75">
      <c r="A81" s="30" t="s">
        <v>1149</v>
      </c>
      <c r="B81" s="18" t="s">
        <v>89</v>
      </c>
      <c r="C81" s="8" t="s">
        <v>46</v>
      </c>
      <c r="D81" s="14"/>
      <c r="E81" s="14"/>
      <c r="F81" s="18"/>
      <c r="G81" s="18"/>
      <c r="H81" s="18"/>
      <c r="I81" s="18" t="s">
        <v>49</v>
      </c>
      <c r="J81" s="17"/>
      <c r="K81" s="114" t="s">
        <v>1150</v>
      </c>
      <c r="L81" s="4"/>
      <c r="M81" s="5" t="s">
        <v>1099</v>
      </c>
      <c r="N81" s="5" t="s">
        <v>71</v>
      </c>
      <c r="O81" s="14" t="s">
        <v>1048</v>
      </c>
      <c r="P81" s="14"/>
      <c r="Q81" s="14"/>
    </row>
    <row r="82" spans="1:17" ht="72.75">
      <c r="A82" s="30" t="s">
        <v>1151</v>
      </c>
      <c r="B82" s="17" t="s">
        <v>1112</v>
      </c>
      <c r="C82" s="8" t="s">
        <v>46</v>
      </c>
      <c r="D82" s="14"/>
      <c r="E82" s="14"/>
      <c r="F82" s="8" t="s">
        <v>1113</v>
      </c>
      <c r="G82" s="17" t="s">
        <v>1114</v>
      </c>
      <c r="H82" s="17" t="s">
        <v>1115</v>
      </c>
      <c r="I82" s="18" t="s">
        <v>49</v>
      </c>
      <c r="J82" s="17"/>
      <c r="K82" s="114" t="s">
        <v>1116</v>
      </c>
      <c r="L82" s="4"/>
      <c r="M82" s="5" t="s">
        <v>1099</v>
      </c>
      <c r="N82" s="5" t="s">
        <v>71</v>
      </c>
      <c r="O82" s="14" t="s">
        <v>1048</v>
      </c>
      <c r="P82" s="14"/>
      <c r="Q82" s="14"/>
    </row>
    <row r="83" spans="1:17">
      <c r="A83" s="30" t="s">
        <v>1152</v>
      </c>
      <c r="B83" s="18" t="s">
        <v>89</v>
      </c>
      <c r="C83" s="8" t="s">
        <v>46</v>
      </c>
      <c r="D83" s="14"/>
      <c r="E83" s="14"/>
      <c r="F83" s="8">
        <v>0</v>
      </c>
      <c r="G83" s="17" t="s">
        <v>1102</v>
      </c>
      <c r="H83" s="17" t="s">
        <v>1103</v>
      </c>
      <c r="I83" s="18" t="s">
        <v>49</v>
      </c>
      <c r="J83" s="17"/>
      <c r="K83" s="33"/>
      <c r="L83" s="21"/>
      <c r="M83" s="5" t="s">
        <v>1099</v>
      </c>
      <c r="N83" s="5" t="s">
        <v>71</v>
      </c>
      <c r="O83" s="14" t="s">
        <v>1048</v>
      </c>
      <c r="P83" s="14"/>
      <c r="Q83" s="14"/>
    </row>
    <row r="84" spans="1:17">
      <c r="A84" s="30" t="s">
        <v>1153</v>
      </c>
      <c r="B84" s="18" t="s">
        <v>89</v>
      </c>
      <c r="C84" s="8" t="s">
        <v>46</v>
      </c>
      <c r="D84" s="14"/>
      <c r="E84" s="14"/>
      <c r="F84" s="26">
        <v>0</v>
      </c>
      <c r="G84" s="17"/>
      <c r="H84" s="26"/>
      <c r="I84" s="18" t="s">
        <v>49</v>
      </c>
      <c r="J84" s="26"/>
      <c r="K84" s="33" t="s">
        <v>1119</v>
      </c>
      <c r="L84" s="4"/>
      <c r="M84" s="5" t="s">
        <v>1099</v>
      </c>
      <c r="N84" s="5" t="s">
        <v>71</v>
      </c>
      <c r="O84" s="14" t="s">
        <v>1048</v>
      </c>
      <c r="P84" s="14"/>
      <c r="Q84" s="14"/>
    </row>
    <row r="85" spans="1:17" ht="24.75">
      <c r="A85" s="30" t="s">
        <v>1154</v>
      </c>
      <c r="B85" s="26" t="s">
        <v>1112</v>
      </c>
      <c r="C85" s="8" t="s">
        <v>46</v>
      </c>
      <c r="D85" s="14"/>
      <c r="E85" s="14"/>
      <c r="F85" s="26" t="s">
        <v>1121</v>
      </c>
      <c r="G85" s="17" t="s">
        <v>1122</v>
      </c>
      <c r="H85" s="26" t="s">
        <v>1123</v>
      </c>
      <c r="I85" s="18" t="s">
        <v>49</v>
      </c>
      <c r="J85" s="5"/>
      <c r="K85" s="114" t="s">
        <v>1098</v>
      </c>
      <c r="L85" s="4"/>
      <c r="M85" s="5" t="s">
        <v>1099</v>
      </c>
      <c r="N85" s="5" t="s">
        <v>71</v>
      </c>
      <c r="O85" s="14" t="s">
        <v>1048</v>
      </c>
      <c r="P85" s="14"/>
      <c r="Q85" s="14"/>
    </row>
    <row r="86" spans="1:17" ht="48.75">
      <c r="A86" s="30" t="s">
        <v>1155</v>
      </c>
      <c r="B86" s="18" t="s">
        <v>89</v>
      </c>
      <c r="C86" s="8" t="s">
        <v>46</v>
      </c>
      <c r="D86" s="14"/>
      <c r="E86" s="14"/>
      <c r="F86" s="26" t="s">
        <v>1125</v>
      </c>
      <c r="G86" s="17" t="s">
        <v>1126</v>
      </c>
      <c r="H86" s="26" t="s">
        <v>1127</v>
      </c>
      <c r="I86" s="18" t="s">
        <v>49</v>
      </c>
      <c r="J86" s="5"/>
      <c r="K86" s="33" t="s">
        <v>1128</v>
      </c>
      <c r="L86" s="4"/>
      <c r="M86" s="5" t="s">
        <v>1099</v>
      </c>
      <c r="N86" s="5" t="s">
        <v>71</v>
      </c>
      <c r="O86" s="14" t="s">
        <v>1048</v>
      </c>
      <c r="P86" s="14"/>
      <c r="Q86" s="14"/>
    </row>
    <row r="87" spans="1:17">
      <c r="A87" s="30" t="s">
        <v>1156</v>
      </c>
      <c r="B87" s="18" t="s">
        <v>89</v>
      </c>
      <c r="C87" s="8" t="s">
        <v>46</v>
      </c>
      <c r="D87" s="14"/>
      <c r="E87" s="14"/>
      <c r="F87" s="8"/>
      <c r="G87" s="17"/>
      <c r="H87" s="8"/>
      <c r="I87" s="18" t="s">
        <v>49</v>
      </c>
      <c r="J87" s="8"/>
      <c r="K87" s="26"/>
      <c r="L87" s="4"/>
      <c r="M87" s="5" t="s">
        <v>1099</v>
      </c>
      <c r="N87" s="5" t="s">
        <v>71</v>
      </c>
      <c r="O87" s="14" t="s">
        <v>1048</v>
      </c>
      <c r="P87" s="14"/>
      <c r="Q87" s="14"/>
    </row>
    <row r="88" spans="1:17">
      <c r="A88" s="30" t="s">
        <v>1157</v>
      </c>
      <c r="B88" s="18" t="s">
        <v>1112</v>
      </c>
      <c r="C88" s="8" t="s">
        <v>46</v>
      </c>
      <c r="D88" s="14"/>
      <c r="E88" s="14"/>
      <c r="F88" s="26" t="s">
        <v>1132</v>
      </c>
      <c r="G88" s="17" t="s">
        <v>1126</v>
      </c>
      <c r="H88" s="26" t="s">
        <v>1133</v>
      </c>
      <c r="I88" s="18" t="s">
        <v>49</v>
      </c>
      <c r="J88" s="8"/>
      <c r="K88" s="26"/>
      <c r="L88" s="4"/>
      <c r="M88" s="5" t="s">
        <v>1099</v>
      </c>
      <c r="N88" s="5" t="s">
        <v>71</v>
      </c>
      <c r="O88" s="14" t="s">
        <v>1048</v>
      </c>
      <c r="P88" s="14"/>
      <c r="Q88" s="14"/>
    </row>
    <row r="89" spans="1:17" ht="24">
      <c r="A89" s="30" t="s">
        <v>1158</v>
      </c>
      <c r="B89" s="18" t="s">
        <v>89</v>
      </c>
      <c r="C89" s="8" t="s">
        <v>46</v>
      </c>
      <c r="D89" s="14"/>
      <c r="E89" s="14"/>
      <c r="F89" s="8" t="s">
        <v>1135</v>
      </c>
      <c r="G89" s="17"/>
      <c r="H89" s="8"/>
      <c r="I89" s="18" t="s">
        <v>49</v>
      </c>
      <c r="J89" s="8"/>
      <c r="K89" s="116" t="s">
        <v>1107</v>
      </c>
      <c r="L89" s="4"/>
      <c r="M89" s="5" t="s">
        <v>1099</v>
      </c>
      <c r="N89" s="5" t="s">
        <v>71</v>
      </c>
      <c r="O89" s="14" t="s">
        <v>1048</v>
      </c>
      <c r="P89" s="14"/>
      <c r="Q89" s="14"/>
    </row>
    <row r="90" spans="1:17">
      <c r="A90" s="10" t="s">
        <v>1159</v>
      </c>
      <c r="B90" s="18" t="s">
        <v>89</v>
      </c>
      <c r="C90" s="8" t="s">
        <v>46</v>
      </c>
      <c r="D90" s="14"/>
      <c r="E90" s="14"/>
      <c r="F90" s="18">
        <v>120</v>
      </c>
      <c r="G90" s="18" t="s">
        <v>1102</v>
      </c>
      <c r="H90" s="18" t="s">
        <v>1103</v>
      </c>
      <c r="I90" s="18" t="s">
        <v>49</v>
      </c>
      <c r="J90" s="26"/>
      <c r="K90" s="33"/>
      <c r="L90" s="4"/>
      <c r="M90" s="5" t="s">
        <v>1099</v>
      </c>
      <c r="N90" s="5" t="s">
        <v>71</v>
      </c>
      <c r="O90" s="14" t="s">
        <v>1048</v>
      </c>
      <c r="P90" s="14"/>
      <c r="Q90" s="14"/>
    </row>
    <row r="91" spans="1:17">
      <c r="A91" s="30" t="s">
        <v>1160</v>
      </c>
      <c r="B91" s="18" t="s">
        <v>89</v>
      </c>
      <c r="C91" s="8" t="s">
        <v>46</v>
      </c>
      <c r="D91" s="14"/>
      <c r="E91" s="14"/>
      <c r="F91" s="26">
        <v>15</v>
      </c>
      <c r="G91" s="17" t="s">
        <v>1102</v>
      </c>
      <c r="H91" s="26" t="s">
        <v>1103</v>
      </c>
      <c r="I91" s="18" t="s">
        <v>49</v>
      </c>
      <c r="J91" s="26"/>
      <c r="K91" s="33"/>
      <c r="L91" s="4"/>
      <c r="M91" s="5" t="s">
        <v>1099</v>
      </c>
      <c r="N91" s="5" t="s">
        <v>71</v>
      </c>
      <c r="O91" s="14" t="s">
        <v>1048</v>
      </c>
      <c r="P91" s="14"/>
      <c r="Q91" s="14"/>
    </row>
    <row r="92" spans="1:17">
      <c r="A92" s="30" t="s">
        <v>1161</v>
      </c>
      <c r="B92" s="36" t="s">
        <v>89</v>
      </c>
      <c r="C92" s="35" t="s">
        <v>46</v>
      </c>
      <c r="D92" s="36"/>
      <c r="E92" s="36"/>
      <c r="F92" s="36"/>
      <c r="G92" s="36"/>
      <c r="H92" s="36"/>
      <c r="I92" s="36" t="s">
        <v>49</v>
      </c>
      <c r="J92" s="114"/>
      <c r="K92" s="114" t="s">
        <v>1139</v>
      </c>
      <c r="L92" s="4"/>
      <c r="M92" s="5" t="s">
        <v>1099</v>
      </c>
      <c r="N92" s="5" t="s">
        <v>71</v>
      </c>
      <c r="O92" s="14" t="s">
        <v>1048</v>
      </c>
      <c r="P92" s="14"/>
      <c r="Q92" s="14"/>
    </row>
    <row r="93" spans="1:17" ht="36">
      <c r="A93" s="30" t="s">
        <v>1162</v>
      </c>
      <c r="B93" s="26" t="s">
        <v>66</v>
      </c>
      <c r="C93" s="8" t="s">
        <v>46</v>
      </c>
      <c r="D93" s="14"/>
      <c r="E93" s="14"/>
      <c r="F93" s="26" t="s">
        <v>193</v>
      </c>
      <c r="G93" s="26" t="s">
        <v>194</v>
      </c>
      <c r="H93" s="26"/>
      <c r="I93" s="18" t="s">
        <v>49</v>
      </c>
      <c r="J93" s="19"/>
      <c r="K93" s="33" t="s">
        <v>1141</v>
      </c>
      <c r="L93" s="4"/>
      <c r="M93" s="5" t="s">
        <v>1099</v>
      </c>
      <c r="N93" s="5" t="s">
        <v>71</v>
      </c>
      <c r="O93" s="14" t="s">
        <v>1048</v>
      </c>
      <c r="P93" s="14"/>
      <c r="Q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Jeff Webb</cp:lastModifiedBy>
  <cp:revision>85</cp:revision>
  <dcterms:created xsi:type="dcterms:W3CDTF">2014-01-03T14:43:46Z</dcterms:created>
  <dcterms:modified xsi:type="dcterms:W3CDTF">2025-04-22T12:01:23Z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