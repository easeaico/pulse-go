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166925"/>
  <mc:AlternateContent xmlns:mc="http://schemas.openxmlformats.org/markup-compatibility/2006">
    <mc:Choice Requires="x15">
      <x15ac:absPath xmlns:x15ac="http://schemas.microsoft.com/office/spreadsheetml/2010/11/ac" url="C:\Programming\Pulse\engine\data\human\adult\validation\"/>
    </mc:Choice>
  </mc:AlternateContent>
  <xr:revisionPtr revIDLastSave="0" documentId="13_ncr:1_{BBD4A4C4-C66E-43F7-85C2-75573A554285}" xr6:coauthVersionLast="47" xr6:coauthVersionMax="47" xr10:uidLastSave="{00000000-0000-0000-0000-000000000000}"/>
  <bookViews>
    <workbookView xWindow="-120" yWindow="-120" windowWidth="29040" windowHeight="17520" tabRatio="500" firstSheet="3" activeTab="8" xr2:uid="{00000000-000D-0000-FFFF-FFFF00000000}"/>
  </bookViews>
  <sheets>
    <sheet name="Patient" sheetId="1" r:id="rId1"/>
    <sheet name="Blood Chemistry" sheetId="2" r:id="rId2"/>
    <sheet name="Cardiovascular" sheetId="3" r:id="rId3"/>
    <sheet name="CardiovascularExtended" sheetId="4" r:id="rId4"/>
    <sheet name="Endocrine" sheetId="5" r:id="rId5"/>
    <sheet name="Energy" sheetId="6" r:id="rId6"/>
    <sheet name="Gastrointestinal" sheetId="7" r:id="rId7"/>
    <sheet name="Nervous" sheetId="8" r:id="rId8"/>
    <sheet name="Renal" sheetId="9" r:id="rId9"/>
    <sheet name="Respiratory" sheetId="10" r:id="rId10"/>
    <sheet name="Tissue" sheetId="11"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4" i="2" l="1"/>
  <c r="B65" i="2"/>
  <c r="I52" i="2"/>
  <c r="H52" i="2"/>
  <c r="G52" i="2"/>
  <c r="F52" i="2"/>
  <c r="F71" i="9"/>
  <c r="F72" i="9"/>
  <c r="F73" i="9"/>
  <c r="F74" i="9"/>
  <c r="F70" i="9"/>
  <c r="F61" i="9"/>
  <c r="F62" i="9"/>
  <c r="F63" i="9"/>
  <c r="F64" i="9"/>
  <c r="F60" i="9"/>
  <c r="F69" i="9"/>
  <c r="F75" i="9"/>
  <c r="F59" i="9"/>
  <c r="F65" i="9"/>
  <c r="F58" i="9"/>
  <c r="F68" i="9"/>
  <c r="F67" i="9"/>
  <c r="F57" i="9"/>
  <c r="F49" i="11"/>
  <c r="F51" i="11" s="1"/>
  <c r="E35" i="11"/>
  <c r="D35" i="11"/>
  <c r="F14" i="11"/>
  <c r="F16" i="11" s="1"/>
  <c r="F55" i="10"/>
  <c r="F51" i="10"/>
  <c r="H151" i="9"/>
  <c r="G151" i="9"/>
  <c r="F151" i="9"/>
  <c r="C151" i="9"/>
  <c r="F108" i="3"/>
  <c r="F106" i="3"/>
  <c r="F105" i="3"/>
  <c r="F104" i="3"/>
  <c r="F22" i="3" s="1"/>
  <c r="F103" i="3"/>
  <c r="F102" i="3"/>
  <c r="F101" i="3"/>
  <c r="F100" i="3"/>
  <c r="F65" i="3"/>
  <c r="F64" i="3"/>
  <c r="F63" i="3"/>
  <c r="F62" i="3"/>
  <c r="F54" i="3"/>
  <c r="G80" i="2"/>
  <c r="F80" i="2"/>
  <c r="G78" i="2"/>
  <c r="G75" i="2"/>
  <c r="F75" i="2"/>
  <c r="G74" i="2"/>
  <c r="G72" i="2"/>
  <c r="F72" i="2"/>
  <c r="G71" i="2"/>
  <c r="F71" i="2"/>
  <c r="G67" i="2"/>
  <c r="F67" i="2"/>
  <c r="G65" i="2"/>
  <c r="F65" i="2"/>
  <c r="G64" i="2"/>
  <c r="G59" i="2"/>
  <c r="F59" i="2"/>
  <c r="G58" i="2"/>
  <c r="F58" i="2"/>
  <c r="C16" i="1"/>
  <c r="C15" i="1"/>
  <c r="C14" i="1"/>
  <c r="C17" i="1" s="1"/>
  <c r="C13" i="1"/>
  <c r="F20" i="11" s="1"/>
  <c r="C11" i="1"/>
  <c r="C10" i="1"/>
  <c r="E38" i="11" s="1"/>
  <c r="C7" i="1"/>
  <c r="F99" i="3" s="1"/>
  <c r="C6" i="1"/>
  <c r="F98" i="3" s="1"/>
  <c r="C5" i="1"/>
  <c r="F67" i="3" s="1"/>
  <c r="F22" i="11" l="1"/>
  <c r="F21" i="11"/>
  <c r="F23" i="11"/>
  <c r="F52" i="11"/>
  <c r="F32" i="11"/>
  <c r="F29" i="11"/>
  <c r="F26" i="11"/>
  <c r="F46" i="11"/>
  <c r="F71" i="3"/>
  <c r="F68" i="3"/>
  <c r="F70" i="3"/>
  <c r="F111" i="3"/>
  <c r="F112" i="3"/>
  <c r="F72" i="3"/>
  <c r="F3" i="3"/>
  <c r="F73" i="3"/>
  <c r="F35" i="11"/>
  <c r="F5" i="3"/>
  <c r="F77" i="3"/>
  <c r="D38" i="11"/>
  <c r="F40" i="3"/>
  <c r="F80" i="3"/>
  <c r="F10" i="2"/>
  <c r="F17" i="2" s="1"/>
  <c r="F64" i="2" s="1"/>
  <c r="F41" i="3"/>
  <c r="F81" i="3"/>
  <c r="F38" i="11"/>
  <c r="F13" i="2"/>
  <c r="F34" i="2"/>
  <c r="F45" i="3"/>
  <c r="F86" i="3"/>
  <c r="F41" i="11"/>
  <c r="F46" i="3"/>
  <c r="F87" i="3"/>
  <c r="F47" i="3"/>
  <c r="F15" i="11"/>
  <c r="F48" i="3"/>
  <c r="F49" i="3"/>
  <c r="F95" i="3"/>
  <c r="F17" i="11"/>
  <c r="F50" i="3"/>
  <c r="F96" i="3"/>
  <c r="F50" i="11"/>
  <c r="F66" i="3"/>
  <c r="F107" i="3"/>
  <c r="F109" i="3"/>
  <c r="F69" i="3"/>
  <c r="F110" i="3"/>
  <c r="C8" i="1"/>
  <c r="F4" i="3" s="1"/>
  <c r="F74" i="3"/>
  <c r="F75" i="3"/>
  <c r="F76" i="3"/>
  <c r="F42" i="3"/>
  <c r="F83" i="3"/>
  <c r="F43" i="3"/>
  <c r="F7" i="3" s="1"/>
  <c r="F84" i="3"/>
  <c r="F51" i="3"/>
  <c r="F97" i="3"/>
  <c r="F52" i="3"/>
  <c r="F53" i="3"/>
  <c r="F43" i="11" l="1"/>
  <c r="F42" i="11"/>
  <c r="F36" i="11"/>
  <c r="F37" i="11"/>
  <c r="F34" i="11"/>
  <c r="F33" i="11"/>
  <c r="F39" i="11"/>
  <c r="F4" i="11" s="1"/>
  <c r="F40" i="11"/>
  <c r="F61" i="3"/>
  <c r="F94" i="3"/>
  <c r="F4" i="9"/>
  <c r="F5" i="9" s="1"/>
  <c r="F19" i="11"/>
  <c r="F18" i="11"/>
  <c r="F3" i="11" s="1"/>
  <c r="F48" i="11"/>
  <c r="F47" i="11"/>
  <c r="F30" i="11"/>
  <c r="F28" i="11"/>
  <c r="F31" i="11"/>
  <c r="F27" i="11"/>
  <c r="F60" i="3"/>
  <c r="F93" i="3"/>
  <c r="F54" i="11"/>
  <c r="F53" i="11"/>
  <c r="F24" i="11"/>
  <c r="F25" i="11"/>
  <c r="F6" i="11" l="1"/>
</calcChain>
</file>

<file path=xl/sharedStrings.xml><?xml version="1.0" encoding="utf-8"?>
<sst xmlns="http://schemas.openxmlformats.org/spreadsheetml/2006/main" count="6593" uniqueCount="1194">
  <si>
    <t>Patient Inputs</t>
  </si>
  <si>
    <t>Units</t>
  </si>
  <si>
    <t>Value</t>
  </si>
  <si>
    <t>References</t>
  </si>
  <si>
    <t>Sex</t>
  </si>
  <si>
    <t>Male</t>
  </si>
  <si>
    <t>Height</t>
  </si>
  <si>
    <t>cm</t>
  </si>
  <si>
    <t>Weight</t>
  </si>
  <si>
    <t>kg</t>
  </si>
  <si>
    <t>TotalBodySurfaceArea</t>
  </si>
  <si>
    <t>m2</t>
  </si>
  <si>
    <t>PMID 3657876.</t>
  </si>
  <si>
    <t>CardiacOutput</t>
  </si>
  <si>
    <t>mL/min</t>
  </si>
  <si>
    <t>guyton2006medical</t>
  </si>
  <si>
    <t>BloodVolume</t>
  </si>
  <si>
    <t>mL</t>
  </si>
  <si>
    <t>CardiacIndex</t>
  </si>
  <si>
    <t>mL/min/m2</t>
  </si>
  <si>
    <t>RightLungRatio</t>
  </si>
  <si>
    <t>LeftLungRatio</t>
  </si>
  <si>
    <t>Hemoglobin Concentration</t>
  </si>
  <si>
    <t>g/mL</t>
  </si>
  <si>
    <t>BodyFatFraction</t>
  </si>
  <si>
    <t>LeanBodyMass</t>
  </si>
  <si>
    <t>StandPatientWeight</t>
  </si>
  <si>
    <t>StandardPatientTotalBodySurfaceArea</t>
  </si>
  <si>
    <t>StandardBodyFatFraction</t>
  </si>
  <si>
    <t>StandardLeadBodyMass</t>
  </si>
  <si>
    <t>Output</t>
  </si>
  <si>
    <t>Algorithm</t>
  </si>
  <si>
    <t>Male Multipliers</t>
  </si>
  <si>
    <t>Female Multipliers</t>
  </si>
  <si>
    <t>Reference Values</t>
  </si>
  <si>
    <t>Reference Page</t>
  </si>
  <si>
    <t>PatientSpecific</t>
  </si>
  <si>
    <t>Notes</t>
  </si>
  <si>
    <t>Internal Notes</t>
  </si>
  <si>
    <t>Reading</t>
  </si>
  <si>
    <t>Table</t>
  </si>
  <si>
    <t>Table Precision</t>
  </si>
  <si>
    <t>Request Type</t>
  </si>
  <si>
    <t>Request Precision</t>
  </si>
  <si>
    <t>BaseExcess</t>
  </si>
  <si>
    <t>mEq/L</t>
  </si>
  <si>
    <t>Mean</t>
  </si>
  <si>
    <t>[-2,2]</t>
  </si>
  <si>
    <t>fischbach2009manual</t>
  </si>
  <si>
    <t>Y</t>
  </si>
  <si>
    <t>BloodChemistry</t>
  </si>
  <si>
    <t>2f</t>
  </si>
  <si>
    <t>Physiology</t>
  </si>
  <si>
    <t>BloodDensity</t>
  </si>
  <si>
    <t>kg/m^3</t>
  </si>
  <si>
    <t>herman2007physics</t>
  </si>
  <si>
    <t>p21</t>
  </si>
  <si>
    <t>0f</t>
  </si>
  <si>
    <t>BloodPH</t>
  </si>
  <si>
    <t>7.2,
 [7.35,7.4]</t>
  </si>
  <si>
    <t>valentin2002icrp,  guyton2006medical</t>
  </si>
  <si>
    <t>p137                                 p384</t>
  </si>
  <si>
    <t>BloodSpecificHeat</t>
  </si>
  <si>
    <t>J/K kg</t>
  </si>
  <si>
    <t>blake2010specificheat</t>
  </si>
  <si>
    <t>BloodUreaNitrogenConcentration</t>
  </si>
  <si>
    <t>mg/dL</t>
  </si>
  <si>
    <t>[9.0,18.0],
[6.0,20.0]</t>
  </si>
  <si>
    <t>valtin1995renal,
Deepakfirst</t>
  </si>
  <si>
    <t xml:space="preserve">p289
</t>
  </si>
  <si>
    <t>I can't find a Deepak reference</t>
  </si>
  <si>
    <t>1f</t>
  </si>
  <si>
    <t>CarbonDioxideSaturation</t>
  </si>
  <si>
    <t>dash2010erratum</t>
  </si>
  <si>
    <t>CarbonMonoxideSaturation*</t>
  </si>
  <si>
    <t>None in default system/enviornment</t>
  </si>
  <si>
    <t>Hematocrit</t>
  </si>
  <si>
    <t>0.42,
[0.4,0.5]</t>
  </si>
  <si>
    <t>guyton2006medical,
valtin1995renal</t>
  </si>
  <si>
    <t>p169                                  p288</t>
  </si>
  <si>
    <t xml:space="preserve"> 0.38 for Women</t>
  </si>
  <si>
    <t>HemoglobinContent</t>
  </si>
  <si>
    <t>g</t>
  </si>
  <si>
    <t>[C&lt;sub&gt;Hb&lt;/sub&gt;*V&lt;sub&gt;blood&lt;/sub&gt;]</t>
  </si>
  <si>
    <t>Hb Concentration * Total Blood Volume</t>
  </si>
  <si>
    <t>OxygenSaturation</t>
  </si>
  <si>
    <t>0.97, [0.96,1.0]</t>
  </si>
  <si>
    <t>p506                                 p288</t>
  </si>
  <si>
    <t>Phosphate</t>
  </si>
  <si>
    <t>mmol/L</t>
  </si>
  <si>
    <t>[0.8,1.4]</t>
  </si>
  <si>
    <t>Leeuwen2015laboratory</t>
  </si>
  <si>
    <t>PlasmaVolume</t>
  </si>
  <si>
    <t xml:space="preserve">p293                                 p137                        </t>
  </si>
  <si>
    <t>guyton2006medical, valentin2002icrp</t>
  </si>
  <si>
    <t>60% BVT (~3)
56.3%BVT</t>
  </si>
  <si>
    <t>http://www.heart.org/HEARTORG/Conditions/HeartFailure/SymptomsDiagnosisofHeartFailure/Common-Tests-for-Heart-Failure_UCM_306334_Article.jsp</t>
  </si>
  <si>
    <t>PulseOximetry</t>
  </si>
  <si>
    <t>RedBloodCellCount</t>
  </si>
  <si>
    <t>ct/uL</t>
  </si>
  <si>
    <t xml:space="preserve">p419                                  p137  </t>
  </si>
  <si>
    <t>3g</t>
  </si>
  <si>
    <t>ShuntFraction</t>
  </si>
  <si>
    <t>[0.02,0.05]</t>
  </si>
  <si>
    <t>Levitzky2013pulmonary</t>
  </si>
  <si>
    <t>p127</t>
  </si>
  <si>
    <t>StrongIonDifference</t>
  </si>
  <si>
    <t>[40,42]</t>
  </si>
  <si>
    <t>kellum2009stewart</t>
  </si>
  <si>
    <t>TotalProteinConcentration</t>
  </si>
  <si>
    <t>g/dL</t>
  </si>
  <si>
    <t>[6,8]</t>
  </si>
  <si>
    <t>valtin1995renal</t>
  </si>
  <si>
    <t>p289</t>
  </si>
  <si>
    <t>VolumeFractionNeutralLipidInPlasma</t>
  </si>
  <si>
    <t>rodgers2006physiologically</t>
  </si>
  <si>
    <t>4f</t>
  </si>
  <si>
    <t>VolumeFractionNeutralPhospholipidInPlasma</t>
  </si>
  <si>
    <t>WhiteBloodCellCount</t>
  </si>
  <si>
    <t xml:space="preserve">guyton2006medical   </t>
  </si>
  <si>
    <t>p430</t>
  </si>
  <si>
    <t>maximum value for men</t>
  </si>
  <si>
    <t>4g</t>
  </si>
  <si>
    <t>Substance Blood Concentrations</t>
  </si>
  <si>
    <t>Chosen Values</t>
  </si>
  <si>
    <t>Reference</t>
  </si>
  <si>
    <t>Page</t>
  </si>
  <si>
    <t>Acetoacetate-BloodConcentration</t>
  </si>
  <si>
    <t>mg/L</t>
  </si>
  <si>
    <t>[8.1672,10.209]</t>
  </si>
  <si>
    <t>Fery1983ketone</t>
  </si>
  <si>
    <t>Acetoacetate is one of the main ketone bodies used for energy (along with beta-hydroxybutyrate). Note that total ketone body normal concnetration is 0.31 ± 0.05. See the reference (in energy folder).
Note that the concentration is converted from molarity ([0.08,0.1] mmol/L).</t>
  </si>
  <si>
    <t>Substance</t>
  </si>
  <si>
    <t>Albumin-BloodConcentration</t>
  </si>
  <si>
    <t>[4,5]</t>
  </si>
  <si>
    <t>Concentrtion of "protein" is 6 to 8 g/dL. Albumin is 4 to 5 g/dL, and globulin makes the difference.</t>
  </si>
  <si>
    <t>Bicarbonate-BloodConcentration</t>
  </si>
  <si>
    <t>[0.134,0.159]</t>
  </si>
  <si>
    <t>p288</t>
  </si>
  <si>
    <t>converted from [22,26] mmol/L</t>
  </si>
  <si>
    <t>3f</t>
  </si>
  <si>
    <t>Calcium-BloodConcentration</t>
  </si>
  <si>
    <t>[44.08,52.1]</t>
  </si>
  <si>
    <t>cheuvront2014comparison</t>
  </si>
  <si>
    <t>converted from 1.2 +- 0.1 mmol/L</t>
  </si>
  <si>
    <t>Chloride-BloodConcentration</t>
  </si>
  <si>
    <t>g/L</t>
  </si>
  <si>
    <t>[3.6868,3.86405],
3.6159,
[3.43865,3.79315]</t>
  </si>
  <si>
    <t>cheuvront2014comparison,
Boron2012medical,
Leeuwen2015laboratory</t>
  </si>
  <si>
    <t xml:space="preserve">
p108</t>
  </si>
  <si>
    <t>Converted from molarity ([104, 109],102 mmol/L)</t>
  </si>
  <si>
    <t>Creatinine-BloodConcentration</t>
  </si>
  <si>
    <t>[5.0,15.0]</t>
  </si>
  <si>
    <t>coresh2001prevalence,
p288</t>
  </si>
  <si>
    <t>Epinephrine-BloodConcentration</t>
  </si>
  <si>
    <t>ug/L</t>
  </si>
  <si>
    <t xml:space="preserve">[0.032, 0.036],
[0.028, 0.072],
[0.015, 0.021],
[0.022, 0.034],
[0.045, 0.111] </t>
  </si>
  <si>
    <t>wortsman1984adrenomedullary,
stratton1985hemodynamic,
stein1998basal,
penesova2008role,
Zauner2000resting</t>
  </si>
  <si>
    <t>Globulin-BloodConcentration</t>
  </si>
  <si>
    <t>[2,3]</t>
  </si>
  <si>
    <t>Glucose-BloodConcentration</t>
  </si>
  <si>
    <t>[90,100]</t>
  </si>
  <si>
    <t>polonsky1987insulin</t>
  </si>
  <si>
    <t>Kind of your average about to eat, but not starving baseline</t>
  </si>
  <si>
    <t>Hemoglobin-BloodConcentration</t>
  </si>
  <si>
    <t>[13.8,17.2]</t>
  </si>
  <si>
    <t>[12.1,15.1]</t>
  </si>
  <si>
    <t xml:space="preserve">p506                                </t>
  </si>
  <si>
    <t>VALUES FOR MALE ONLY
If you change this, change the reference value for Blood Chemistry  HemoglobinContent</t>
  </si>
  <si>
    <t>http://www.nhlbi.nih.gov/health/health-topics/topics/arr/diagnosis.html</t>
  </si>
  <si>
    <t>Insulin-BloodConcentration</t>
  </si>
  <si>
    <t>Changes with glucose load. See Leeuwen2015laboratory, for time course expectations. Polonsky also has plotted data. Value from Polonsky converted from microIU/ml). Value from Leeuwen converted from pmol/L</t>
  </si>
  <si>
    <t>Lactate-BloodConcentration</t>
  </si>
  <si>
    <t>[53.442,151.419],
[26.721,115.791]</t>
  </si>
  <si>
    <t>Kratz2004Case,
phypers2006lactate</t>
  </si>
  <si>
    <t xml:space="preserve">p1555
</t>
  </si>
  <si>
    <t>Converted from molarity ([0.6, 1.7],[0.3, 1.3] mmol/L)</t>
  </si>
  <si>
    <t>Norepinephrine-BloodConcentration</t>
  </si>
  <si>
    <t>[0.124, 0.274]</t>
  </si>
  <si>
    <t>Ensinger1992relationship</t>
  </si>
  <si>
    <t>Potassium-BloodConcentration</t>
  </si>
  <si>
    <t>[108.85,164.83],
[108.85,171.05]</t>
  </si>
  <si>
    <t>Leeuwen2015laboratory,
valtin1995renal</t>
  </si>
  <si>
    <t>p1278
p289</t>
  </si>
  <si>
    <t>Converted from molarity ([3.5, 5.3],[3.5, 5.5] mmol/L)</t>
  </si>
  <si>
    <t>Sodium-BloodConcentration</t>
  </si>
  <si>
    <t>[0.313,0.336]</t>
  </si>
  <si>
    <t>skott1989effects
p288</t>
  </si>
  <si>
    <t>Converted from molarity  ([136, 146] mmol/L).</t>
  </si>
  <si>
    <t>Tristearin-BloodConcentration</t>
  </si>
  <si>
    <t>[50,150]</t>
  </si>
  <si>
    <t>This number is for triglycerides. Tristearin is one particular type of triglyceride. We should change the name.</t>
  </si>
  <si>
    <t>Urea-BloodConcentration</t>
  </si>
  <si>
    <t>[20,34],
[19.26,38.52],
[12.84,42.8]</t>
  </si>
  <si>
    <t>musch2006age,
BUN*2.14,
BUN*2.14</t>
  </si>
  <si>
    <t>MW of urea = 60, MW of urea nitrogen = 14x2 =&gt; 60/28 = 2.14</t>
  </si>
  <si>
    <t>2.14 = MW Urea(60) / MW N2 (2*14) 
converted from 0.1 mmol/L</t>
  </si>
  <si>
    <t>http://acutecaretesting.org/en/articles/urea-and-the-clinical-value-of-measuring-blood-urea-concentration</t>
  </si>
  <si>
    <t>Pressures</t>
  </si>
  <si>
    <t>ArterialCarbonDioxidePressure</t>
  </si>
  <si>
    <t>mmHg</t>
  </si>
  <si>
    <t>Guyton p504</t>
  </si>
  <si>
    <t>ArterialOxygenPressure</t>
  </si>
  <si>
    <t>Guyton p503</t>
  </si>
  <si>
    <t>PulmonaryArterialCarbonDioxidePressure</t>
  </si>
  <si>
    <t>PulmonaryArterialOxygenPressure</t>
  </si>
  <si>
    <t>Guyton p502</t>
  </si>
  <si>
    <t>PulmonaryVenousCarbonDioxidePressure</t>
  </si>
  <si>
    <t>Guyton p505</t>
  </si>
  <si>
    <t>PulmonaryVenousOxygenPressure</t>
  </si>
  <si>
    <t>VenousOxygenPressure</t>
  </si>
  <si>
    <t>VenousCarbonDioxidePressure</t>
  </si>
  <si>
    <t>Arterial Blood Gas Test</t>
  </si>
  <si>
    <t>Equal to System Property</t>
  </si>
  <si>
    <t>ArterialBloodGasTest</t>
  </si>
  <si>
    <t>Bicarbonate</t>
  </si>
  <si>
    <t>[22,26]</t>
  </si>
  <si>
    <t>Equal to System Property / Molar Mass * Valence</t>
  </si>
  <si>
    <t>PartialPressureOfOxygen</t>
  </si>
  <si>
    <t>PartialPressureOfCarbonDioxide</t>
  </si>
  <si>
    <t>Complete Blood Count</t>
  </si>
  <si>
    <t>CompleteBloodCount</t>
  </si>
  <si>
    <t>Hemoglobin</t>
  </si>
  <si>
    <t>MeanCorpuscularHemoglobin</t>
  </si>
  <si>
    <t>pg/ct</t>
  </si>
  <si>
    <t>[27,31]</t>
  </si>
  <si>
    <t>medline2015corpuscular</t>
  </si>
  <si>
    <t>https://en.wikipedia.org/wiki/Mean_corpuscular_hemoglobin</t>
  </si>
  <si>
    <t>MeanCorpuscularHemoglobinConcentration</t>
  </si>
  <si>
    <t>[27,39.25]</t>
  </si>
  <si>
    <t>[C&lt;sub&gt;Hb&lt;/sub&gt;/Hematocrit]</t>
  </si>
  <si>
    <t>MeanCorpuscularVolume</t>
  </si>
  <si>
    <t>uL</t>
  </si>
  <si>
    <t>p419</t>
  </si>
  <si>
    <t>PlateletCount</t>
  </si>
  <si>
    <t>[1.5E05,4.0E05]</t>
  </si>
  <si>
    <t>ross1988stability</t>
  </si>
  <si>
    <t>https://en.wikipedia.org/wiki/Platelet#cite_note-22</t>
  </si>
  <si>
    <t>Complete Metabolic Panel</t>
  </si>
  <si>
    <t>Albumin</t>
  </si>
  <si>
    <t>CompleteMetabolicPanel</t>
  </si>
  <si>
    <t>ALP*</t>
  </si>
  <si>
    <t>ALT*</t>
  </si>
  <si>
    <t>AST*</t>
  </si>
  <si>
    <t>BUN</t>
  </si>
  <si>
    <t>Calcium</t>
  </si>
  <si>
    <t>Chloride*</t>
  </si>
  <si>
    <t>CO2</t>
  </si>
  <si>
    <t>[22.0, 26.0]</t>
  </si>
  <si>
    <t>Creatinine</t>
  </si>
  <si>
    <t>Glucose</t>
  </si>
  <si>
    <t>[65,139]</t>
  </si>
  <si>
    <t>Potassium*</t>
  </si>
  <si>
    <t>Sodium</t>
  </si>
  <si>
    <t xml:space="preserve"> [136, 146]</t>
  </si>
  <si>
    <t>TotalBilirubin*</t>
  </si>
  <si>
    <t>TotalProtein</t>
  </si>
  <si>
    <t>ArterialPressure*</t>
  </si>
  <si>
    <t>Not validating the waveform itself. 
Waveform Mean is being validated.</t>
  </si>
  <si>
    <t>Cardiovascular</t>
  </si>
  <si>
    <t>p293</t>
  </si>
  <si>
    <t>If you change this, change the reference value for Blood Chemistry  HemoglobinContent</t>
  </si>
  <si>
    <t>L/min m^2</t>
  </si>
  <si>
    <t>p232</t>
  </si>
  <si>
    <t>The normal human weighing 70kg has a body surface area of about 1.7 square meteres.</t>
  </si>
  <si>
    <t>CentralVenousPressure*</t>
  </si>
  <si>
    <t>[2,6]</t>
  </si>
  <si>
    <t>p93</t>
  </si>
  <si>
    <t>pg. 93 in Leeuwen
(Also, we have 3-8 citing T.A. Goers. Washington Manual of Surgery, but I'd like to verify that before I change the limits Rodney 1/15/2015)</t>
  </si>
  <si>
    <t>CerebralBloodFlow</t>
  </si>
  <si>
    <t>valentin2002icrp</t>
  </si>
  <si>
    <t>CerebralPerfusionPressure</t>
  </si>
  <si>
    <t>[60,98]</t>
  </si>
  <si>
    <t>[MAP-ICP]</t>
  </si>
  <si>
    <t>CoronaryPerfusionPressure</t>
  </si>
  <si>
    <t>[60,80]</t>
  </si>
  <si>
    <t>AhmedCoronary2014</t>
  </si>
  <si>
    <t>DiastolicArterialPressure</t>
  </si>
  <si>
    <t>[60,90]</t>
  </si>
  <si>
    <t xml:space="preserve">pg. 93 in Leeuwen </t>
  </si>
  <si>
    <t>DiastolicLeftHeartPressure</t>
  </si>
  <si>
    <t>[4,12]</t>
  </si>
  <si>
    <t>Edwards2009pocket</t>
  </si>
  <si>
    <t>DiastolicRightHeartPressure</t>
  </si>
  <si>
    <t>[2,8]</t>
  </si>
  <si>
    <t>http://ht.edwards.com/scin/edwards/sitecollectionimages/edwards/products/presep/ar04313hemodynpocketcard.pdf</t>
  </si>
  <si>
    <t>HeartEjectionFraction</t>
  </si>
  <si>
    <t>Leeuwen says 0.65 on pg. 94</t>
  </si>
  <si>
    <t>HeartRate</t>
  </si>
  <si>
    <t>1/min</t>
  </si>
  <si>
    <t>[60,100]</t>
  </si>
  <si>
    <t>MayoClinic2022heart</t>
  </si>
  <si>
    <t>HeartRhythm*</t>
  </si>
  <si>
    <t>Not validating enums</t>
  </si>
  <si>
    <t>HeartStrokeVolume</t>
  </si>
  <si>
    <t>[55.3,93.1]</t>
  </si>
  <si>
    <t>brandfonbrener1955changes</t>
  </si>
  <si>
    <t>Leeuwen has SV index on pg. 94 which is SV adjusted to body surface area, 33 - 57 mL/m^2</t>
  </si>
  <si>
    <t>IntracranialPressure</t>
  </si>
  <si>
    <t>[7,15]</t>
  </si>
  <si>
    <t>steiner2006monitoring</t>
  </si>
  <si>
    <t>Assumes supine adult</t>
  </si>
  <si>
    <t>MeanArterialPressure</t>
  </si>
  <si>
    <t>[70,105]</t>
  </si>
  <si>
    <t>MeanArterialCarbonDioxidePartialPressure*</t>
  </si>
  <si>
    <t>Exposed for use by other systems</t>
  </si>
  <si>
    <t>MeanArterialCarbonDioxidePartialPressureDelta*</t>
  </si>
  <si>
    <t>MeanCentralVenousPressure</t>
  </si>
  <si>
    <t>MeanSkinFlow</t>
  </si>
  <si>
    <t>mL/s</t>
  </si>
  <si>
    <t>This is the same as the Skin Compartment Inflow</t>
  </si>
  <si>
    <t>PeripheralPerfusionIndex</t>
  </si>
  <si>
    <t>[0.029,0.062]</t>
  </si>
  <si>
    <t>savastano2021post</t>
  </si>
  <si>
    <t>PulmonaryArterialPressure*</t>
  </si>
  <si>
    <t>PulmonaryCapillariesWedgePressure</t>
  </si>
  <si>
    <t>previously had 10-13 from solin1999influence, but that population was all sleep apnea pts who one might expect to have elevated PCWP</t>
  </si>
  <si>
    <t>PulmonaryDiastolicArterialPressure</t>
  </si>
  <si>
    <t>[4,12],
[8,15]</t>
  </si>
  <si>
    <t>Leeuwen2015laboratory,
Edwards2009pocket</t>
  </si>
  <si>
    <t xml:space="preserve">p93
</t>
  </si>
  <si>
    <t>PulmonaryMeanArterialPressure</t>
  </si>
  <si>
    <t>[9,18]</t>
  </si>
  <si>
    <t>PulmonaryMeanCapillaryFlow*</t>
  </si>
  <si>
    <t>No data for this</t>
  </si>
  <si>
    <t>PulmonaryMeanShuntFlow*</t>
  </si>
  <si>
    <t>PulmonarySystolicArterialPressure</t>
  </si>
  <si>
    <t>[15,30]</t>
  </si>
  <si>
    <t>PulmonaryVascularResistance</t>
  </si>
  <si>
    <t>mmHg s/mL</t>
  </si>
  <si>
    <t>p167</t>
  </si>
  <si>
    <t>PulmonaryVascularResistanceIndex</t>
  </si>
  <si>
    <t>mmHg s/mL m^2</t>
  </si>
  <si>
    <t>p167 &amp; p232</t>
  </si>
  <si>
    <t>The normal human weighing 70kg has a body surface area of about 1.7 square meteres. Therefore, 0.14*1.7.</t>
  </si>
  <si>
    <t>PulsePressure</t>
  </si>
  <si>
    <t>[25,100]</t>
  </si>
  <si>
    <t>Homan2021physiology</t>
  </si>
  <si>
    <t>SystolicArterialPressure - DiastolicArteralPressure</t>
  </si>
  <si>
    <t>no lower than 25% of systolic and no higher than 100</t>
  </si>
  <si>
    <t>SystemicVascularResistance</t>
  </si>
  <si>
    <t>p163</t>
  </si>
  <si>
    <t>Need to compute a range for SVR in PRUs (see p163 in Guyton)</t>
  </si>
  <si>
    <t>SystolicArterialPressure</t>
  </si>
  <si>
    <t>[100,140]</t>
  </si>
  <si>
    <t>SystolicLeftHeartPressure</t>
  </si>
  <si>
    <t>homoud2008introduction</t>
  </si>
  <si>
    <t>p8</t>
  </si>
  <si>
    <t>Course notes. Neither Guyton nor Boron have ranges. Boron says that the left ventricle systolic pressure is approximately equal to the aorta systolic pressure (p.533)</t>
  </si>
  <si>
    <t>SystolicRightHeartPressure</t>
  </si>
  <si>
    <t>TotalPulmonaryPerfusion</t>
  </si>
  <si>
    <t>[5320, 5600]</t>
  </si>
  <si>
    <t>[Cardiac Output - 5% Shunt, Cariac Output]</t>
  </si>
  <si>
    <t>Compartment Data</t>
  </si>
  <si>
    <t>Aorta-Volume</t>
  </si>
  <si>
    <t>Reduced from ICRP value of 0.06 because we have arms and legs</t>
  </si>
  <si>
    <t>CardiovascularCompartments</t>
  </si>
  <si>
    <t>LiquidCompartment</t>
  </si>
  <si>
    <t xml:space="preserve">Aorta-InFlow </t>
  </si>
  <si>
    <t>Unless otherwise noted, any deviation from the ICRP value is a result of incorporation of "other" blood flow.</t>
  </si>
  <si>
    <t xml:space="preserve">BrainVasculature-Volume </t>
  </si>
  <si>
    <t xml:space="preserve">BrainVasculature-InFlow </t>
  </si>
  <si>
    <t>BrainVasculature-Oxygen-PartialPressure</t>
  </si>
  <si>
    <t>dhawan2011neurointensive</t>
  </si>
  <si>
    <t xml:space="preserve">BoneVasculature-Volume </t>
  </si>
  <si>
    <t>Skeleton</t>
  </si>
  <si>
    <t xml:space="preserve">BoneVasculature-InFlow </t>
  </si>
  <si>
    <t xml:space="preserve">FatVasculature-Volume </t>
  </si>
  <si>
    <t xml:space="preserve">FatVasculature-InFlow </t>
  </si>
  <si>
    <t xml:space="preserve">KidneyVasculature-Volume </t>
  </si>
  <si>
    <t xml:space="preserve">KidneyVasculature-InFlow </t>
  </si>
  <si>
    <t xml:space="preserve">LargeIntestineVasculature-Volume </t>
  </si>
  <si>
    <t>This is a little less because we also have a splanchnic compartment</t>
  </si>
  <si>
    <t xml:space="preserve">LargeIntestineVasculature-InFlow </t>
  </si>
  <si>
    <t xml:space="preserve">LeftArmVasculature-Volume </t>
  </si>
  <si>
    <t>Arms and legs are a guess - some comes from the aorta/large arteries and some comes from "other"</t>
  </si>
  <si>
    <t>LeftArmVasculature-InFlow</t>
  </si>
  <si>
    <t>brachial artery average</t>
  </si>
  <si>
    <t xml:space="preserve">LeftHeart-Volume </t>
  </si>
  <si>
    <t>Min</t>
  </si>
  <si>
    <t>[34,66]</t>
  </si>
  <si>
    <t>hudsmuth2005heartvolume</t>
  </si>
  <si>
    <t>Max</t>
  </si>
  <si>
    <t>[131,189]</t>
  </si>
  <si>
    <t xml:space="preserve">LeftHeart-Pressure </t>
  </si>
  <si>
    <t xml:space="preserve">LeftHeart-InFlow </t>
  </si>
  <si>
    <t xml:space="preserve">LeftKidneyVasculature-Volume </t>
  </si>
  <si>
    <t>Half the ICRP value for both kidneys plus a little bit to make everything add to 1.0</t>
  </si>
  <si>
    <t xml:space="preserve">LeftKidneyVasculature-InFlow </t>
  </si>
  <si>
    <t>Half of the total per kidney, plus a little extra to absorb "other"</t>
  </si>
  <si>
    <t xml:space="preserve">LeftLegVasculature-Volume </t>
  </si>
  <si>
    <t>LeftLegVasculature-InFlow</t>
  </si>
  <si>
    <t>holland1998lower</t>
  </si>
  <si>
    <t>common femoral artery estimate</t>
  </si>
  <si>
    <t xml:space="preserve">LeftPulmonaryArteries-Volume </t>
  </si>
  <si>
    <t>The artery/capillary/vein split is an estimate</t>
  </si>
  <si>
    <t xml:space="preserve">LeftPulmonaryArteries-InFlow </t>
  </si>
  <si>
    <t xml:space="preserve">LeftPulmonaryCapillaries-Volume </t>
  </si>
  <si>
    <t xml:space="preserve">LeftPulmonaryCapillaries-InFlow </t>
  </si>
  <si>
    <t xml:space="preserve">LeftPulmonaryVeins-Volume </t>
  </si>
  <si>
    <t xml:space="preserve">LeftPulmonaryVeins-InFlow </t>
  </si>
  <si>
    <t xml:space="preserve">LiverVasculature-Volume </t>
  </si>
  <si>
    <t>Added a little here to make the numbers add to 1.0</t>
  </si>
  <si>
    <t xml:space="preserve">LiverVasculature-InFlow </t>
  </si>
  <si>
    <t>p838</t>
  </si>
  <si>
    <t>This includes the portal flow.</t>
  </si>
  <si>
    <t xml:space="preserve">MuscleVasculature-Volume </t>
  </si>
  <si>
    <t>Skeletal muscle</t>
  </si>
  <si>
    <t xml:space="preserve">MuscleVasculature-InFlow </t>
  </si>
  <si>
    <t xml:space="preserve">MyocardiumVasculature-Volume </t>
  </si>
  <si>
    <t>Coronary tissue</t>
  </si>
  <si>
    <t xml:space="preserve">MyocardiumVasculature-InFlow </t>
  </si>
  <si>
    <t xml:space="preserve">PulmonaryArteries-Volume </t>
  </si>
  <si>
    <t xml:space="preserve">PulmonaryArteries-InFlow </t>
  </si>
  <si>
    <t xml:space="preserve">PulmonaryArteries-Pressure </t>
  </si>
  <si>
    <t xml:space="preserve">PulmonaryCapillaries-Volume </t>
  </si>
  <si>
    <t xml:space="preserve">PulmonaryCapillaries-InFlow </t>
  </si>
  <si>
    <t xml:space="preserve">PulmonaryCapillaries-Pressure </t>
  </si>
  <si>
    <t>Based on the wedge pressure</t>
  </si>
  <si>
    <t xml:space="preserve">PulmonaryVeins-Volume </t>
  </si>
  <si>
    <t xml:space="preserve">PulmonaryVeins-InFlow </t>
  </si>
  <si>
    <t xml:space="preserve">PulmonaryVeins-Pressure </t>
  </si>
  <si>
    <t>Based on the wedge pressure. Pulmonary vein pressure must be less than pulmonary capillary pressure.</t>
  </si>
  <si>
    <t xml:space="preserve">RightArmVasculature-Volume </t>
  </si>
  <si>
    <t>RightArmVasculature-InFlow</t>
  </si>
  <si>
    <t>gault1966patterns</t>
  </si>
  <si>
    <t xml:space="preserve">RightHeart-Volume </t>
  </si>
  <si>
    <t>[58,98],
[50,100]</t>
  </si>
  <si>
    <t>hudsmuth2005heartvolume,
Edwards2009pocket</t>
  </si>
  <si>
    <t>We have other validation data which suggests that 0.045 is too high for both sides of the heart. We will use the Hudsmuth reference for validation, which unlike the ICRP is actual data.</t>
  </si>
  <si>
    <t>[157,223],
[100,160]</t>
  </si>
  <si>
    <t xml:space="preserve">RightHeart-Pressure </t>
  </si>
  <si>
    <t xml:space="preserve">RightHeart-InFlow </t>
  </si>
  <si>
    <t xml:space="preserve">RightKidneyVasculature-Volume </t>
  </si>
  <si>
    <t xml:space="preserve">RightKidneyVasculature-InFlow </t>
  </si>
  <si>
    <t xml:space="preserve">RightLegVasculature-Volume </t>
  </si>
  <si>
    <t xml:space="preserve">RightLegVasculature-InFlow </t>
  </si>
  <si>
    <t xml:space="preserve">RightPulmonaryArteries-Volume </t>
  </si>
  <si>
    <t xml:space="preserve">RightPulmonaryArteries-InFlow </t>
  </si>
  <si>
    <t xml:space="preserve">RightPulmonaryCapillaries-Volume </t>
  </si>
  <si>
    <t xml:space="preserve">RightPulmonaryCapillaries-InFlow </t>
  </si>
  <si>
    <t xml:space="preserve">RightPulmonaryVeins-Volume </t>
  </si>
  <si>
    <t xml:space="preserve">RightPulmonaryVeins-InFlow </t>
  </si>
  <si>
    <t xml:space="preserve">SkinVasculature-Volume </t>
  </si>
  <si>
    <t xml:space="preserve">SkinVasculature-InFlow </t>
  </si>
  <si>
    <t xml:space="preserve">SmallIntestineVasculature-Volume </t>
  </si>
  <si>
    <t xml:space="preserve">SmallIntestineVasculature-InFlow </t>
  </si>
  <si>
    <t xml:space="preserve">SplanchnicVasculature-Volume </t>
  </si>
  <si>
    <t xml:space="preserve">SplanchnicVasculature-InFlow </t>
  </si>
  <si>
    <t>Stomach plus a little bit of "other"</t>
  </si>
  <si>
    <t xml:space="preserve">SpleenVasculature-Volume </t>
  </si>
  <si>
    <t xml:space="preserve">SpleenVasculature-InFlow </t>
  </si>
  <si>
    <t xml:space="preserve">VenaCava-Volume </t>
  </si>
  <si>
    <t xml:space="preserve">VenaCava-InFlow </t>
  </si>
  <si>
    <t>p147</t>
  </si>
  <si>
    <t>p180</t>
  </si>
  <si>
    <t>pg. 180 in 13th edition
No range in Leeuwen. A cursory search indicates that providers will investigate any deviation from 40.</t>
  </si>
  <si>
    <t>Reduced from ICRP value of 0.06 because we have other large vessels accounted for elsewhere (now 5%)</t>
  </si>
  <si>
    <t xml:space="preserve">ExtracranialVasculature-Volume </t>
  </si>
  <si>
    <t xml:space="preserve">ExtracranialVasculature-InFlow </t>
  </si>
  <si>
    <t>uematsu1982measurement</t>
  </si>
  <si>
    <t xml:space="preserve">HeadVasculature-Volume </t>
  </si>
  <si>
    <t>sum of intra and extra cranial</t>
  </si>
  <si>
    <t xml:space="preserve">HeadVasculature-InFlow </t>
  </si>
  <si>
    <t xml:space="preserve">IntracranialVasculature-Volume </t>
  </si>
  <si>
    <t xml:space="preserve">IntracranialVasculature-InFlow </t>
  </si>
  <si>
    <t>IntracranialVasculature-Oxygen-PartialPressure</t>
  </si>
  <si>
    <t>karpeles1955blood</t>
  </si>
  <si>
    <t xml:space="preserve">LeftArmBoneVasculature-Volume </t>
  </si>
  <si>
    <t>Estimating from amount to the entire body * number for arm</t>
  </si>
  <si>
    <t>LeftArmBoneVasculature-InFlow</t>
  </si>
  <si>
    <t xml:space="preserve">LeftArmFatVasculature-Volume </t>
  </si>
  <si>
    <t>LeftArmFatVasculature-InFlow</t>
  </si>
  <si>
    <t xml:space="preserve">LeftArmMuscleVasculature-Volume </t>
  </si>
  <si>
    <t>LeftArmMuscleVasculature-InFlow</t>
  </si>
  <si>
    <t xml:space="preserve">LeftArmSkinVasculature-Volume </t>
  </si>
  <si>
    <t>LeftArmSkinVasculature-InFlow</t>
  </si>
  <si>
    <t>[31.7,37.9],
57</t>
  </si>
  <si>
    <t>effros1967vascular,
valentin2002icrp</t>
  </si>
  <si>
    <t>Half the ICRP value for both kidneys</t>
  </si>
  <si>
    <t>Half of the total per kidney</t>
  </si>
  <si>
    <t>5.6% of blood volume is in leg on average</t>
  </si>
  <si>
    <t>itzchak1975external</t>
  </si>
  <si>
    <t>mean iliac artery - left or right</t>
  </si>
  <si>
    <t xml:space="preserve">LeftLegBoneVasculature-Volume </t>
  </si>
  <si>
    <t>LeftLegBoneVasculature-InFlow</t>
  </si>
  <si>
    <t xml:space="preserve">LeftLegFatVasculature-Volume </t>
  </si>
  <si>
    <t>LeftLegFatVasculature-InFlow</t>
  </si>
  <si>
    <t xml:space="preserve">LeftLegMuscleVasculature-Volume </t>
  </si>
  <si>
    <t>LeftLegMuscleVasculature-InFlow</t>
  </si>
  <si>
    <t xml:space="preserve">LeftLegSkinVasculature-Volume </t>
  </si>
  <si>
    <t>LeftLegSkinVasculature-InFlow</t>
  </si>
  <si>
    <t xml:space="preserve">RightArmBoneVasculature-Volume </t>
  </si>
  <si>
    <t>RightArmBoneVasculature-InFlow</t>
  </si>
  <si>
    <t xml:space="preserve">RightArmFatVasculature-Volume </t>
  </si>
  <si>
    <t>RightArmFatVasculature-InFlow</t>
  </si>
  <si>
    <t xml:space="preserve">RightArmMuscleVasculature-Volume </t>
  </si>
  <si>
    <t>RightArmMuscleVasculature-InFlow</t>
  </si>
  <si>
    <t xml:space="preserve">RightArmSkinVasculature-Volume </t>
  </si>
  <si>
    <t>RightArmSkinVasculature-InFlow</t>
  </si>
  <si>
    <t>RightLegVasculature-InFlow</t>
  </si>
  <si>
    <t xml:space="preserve">RightLegBoneVasculature-Volume </t>
  </si>
  <si>
    <t>RightLegBoneVasculature-InFlow</t>
  </si>
  <si>
    <t xml:space="preserve">RightLegFatVasculature-Volume </t>
  </si>
  <si>
    <t>RightLegFatVasculature-InFlow</t>
  </si>
  <si>
    <t xml:space="preserve">RightLegMuscleVasculature-Volume </t>
  </si>
  <si>
    <t>RightLegMuscleVasculature-InFlow</t>
  </si>
  <si>
    <t xml:space="preserve">RightLegSkinVasculature-Volume </t>
  </si>
  <si>
    <t>RightLegSkinVasculature-InFlow</t>
  </si>
  <si>
    <t>TorsoVasculature-Volume</t>
  </si>
  <si>
    <t>Total from fat, skin, bone, muscle plus a little to round out body</t>
  </si>
  <si>
    <t>TorsoVasculature-InFlow</t>
  </si>
  <si>
    <t xml:space="preserve">TorsoBoneVasculature-Volume </t>
  </si>
  <si>
    <t>TorsoBoneVasculature-InFlow</t>
  </si>
  <si>
    <t xml:space="preserve">TorsoFatVasculature-Volume </t>
  </si>
  <si>
    <t>TorsoFatVasculature-InFlow</t>
  </si>
  <si>
    <t xml:space="preserve">TorsoMuscleVasculature-Volume </t>
  </si>
  <si>
    <t>TorsoMuscleVasculature-InFlow</t>
  </si>
  <si>
    <t xml:space="preserve">TorsoSkinVasculature-Volume </t>
  </si>
  <si>
    <t>TorsoSkinVasculature-InFlow</t>
  </si>
  <si>
    <t>InsulinSynthesisRate</t>
  </si>
  <si>
    <t>pmol/min</t>
  </si>
  <si>
    <t>[0.55,436]</t>
  </si>
  <si>
    <t>tolic2000modeling</t>
  </si>
  <si>
    <t>the insulin secretion rate is going to be highly dynamic because of the feeding at the begining of the validation scenario. We need to include insulin synthesis validation in the meal validation.</t>
  </si>
  <si>
    <t>Endocrine</t>
  </si>
  <si>
    <t>AchievedExerciseLevel*</t>
  </si>
  <si>
    <t>Under resting state, this is essentially NaN</t>
  </si>
  <si>
    <t>Energy</t>
  </si>
  <si>
    <t>CoreTemperature</t>
  </si>
  <si>
    <t>degC</t>
  </si>
  <si>
    <t>CreatinineProductionRate</t>
  </si>
  <si>
    <t>umol/s</t>
  </si>
  <si>
    <t>esparanza2012creatinine</t>
  </si>
  <si>
    <t>Converted from 1.2 mg/min</t>
  </si>
  <si>
    <t>ExerciseMeanArterialPressureDelta*</t>
  </si>
  <si>
    <t>Used in Barorecptors</t>
  </si>
  <si>
    <t>FatigueLevel*</t>
  </si>
  <si>
    <t>Under resting state, this is essentially zero</t>
  </si>
  <si>
    <t>KetoneProductionRate</t>
  </si>
  <si>
    <t>umol/min</t>
  </si>
  <si>
    <t>garber1974ketone</t>
  </si>
  <si>
    <t>LactateProductionRate</t>
  </si>
  <si>
    <t>mol/day</t>
  </si>
  <si>
    <t>phypers2006lactate</t>
  </si>
  <si>
    <t>SkinTemperature</t>
  </si>
  <si>
    <t>TotalMetabolicRate</t>
  </si>
  <si>
    <t>kcal/day</t>
  </si>
  <si>
    <t>[1200,3000]</t>
  </si>
  <si>
    <t>Norgan2003energy</t>
  </si>
  <si>
    <t>1790 roza1984metabolic for 77 kg man</t>
  </si>
  <si>
    <t>General range for men and women</t>
  </si>
  <si>
    <t>TotalWorkRateLevel*</t>
  </si>
  <si>
    <t>WaterAbsorptionRate</t>
  </si>
  <si>
    <t>[3.3,4.0]</t>
  </si>
  <si>
    <t>Peronnet2012Pharmacokinetic</t>
  </si>
  <si>
    <t>Can go as high as 19.4mL (Guyton)</t>
  </si>
  <si>
    <t>Gastrointestinal</t>
  </si>
  <si>
    <t>BaroreceptorHeartRateScale*</t>
  </si>
  <si>
    <t>BaroreceptorHeartElastanceScale*</t>
  </si>
  <si>
    <t>BaroreceptorResistanceScale*</t>
  </si>
  <si>
    <t>BaroreceptorComplianceScale*</t>
  </si>
  <si>
    <t>ChemoreceptorHeartElastanceScale*</t>
  </si>
  <si>
    <t>ChemoreceptorHeartRateScale*</t>
  </si>
  <si>
    <t>FiltrationFraction</t>
  </si>
  <si>
    <t>GFR/RenalPlasmaFlow</t>
  </si>
  <si>
    <t>Renal</t>
  </si>
  <si>
    <t>GlomerularFiltrationRate</t>
  </si>
  <si>
    <t>L/day</t>
  </si>
  <si>
    <t>N</t>
  </si>
  <si>
    <t>RenalBloodFlow</t>
  </si>
  <si>
    <t>RenalPlasmaFlow</t>
  </si>
  <si>
    <t>Dependent on Hematocrit</t>
  </si>
  <si>
    <t>RenalVascularResistance</t>
  </si>
  <si>
    <t>mmHg min/mL</t>
  </si>
  <si>
    <t>We are just looking at left, right should be the same</t>
  </si>
  <si>
    <t>UrinationRate*</t>
  </si>
  <si>
    <t>Folkestad2004</t>
  </si>
  <si>
    <t>Male: Folkestad 2004
Female is 33 from Corstiaans 2000</t>
  </si>
  <si>
    <t>Validation scenario will need to include urination…</t>
  </si>
  <si>
    <t>UrineOsmolality</t>
  </si>
  <si>
    <t>mOsm/kg</t>
  </si>
  <si>
    <t>[50,1200]</t>
  </si>
  <si>
    <t>Wilczynski 2014
Valtin &amp; Shaffer p. 291</t>
  </si>
  <si>
    <t>UrineOsmolarity</t>
  </si>
  <si>
    <t>mOsm/L</t>
  </si>
  <si>
    <t>Valtin &amp; Shaffer p. 291</t>
  </si>
  <si>
    <t>UrineProductionRate</t>
  </si>
  <si>
    <t>UrineSpecificGravity</t>
  </si>
  <si>
    <t>[1.01,1.022],
[1.003,1.040]</t>
  </si>
  <si>
    <t>valtin1995renal,
walker1990clinical</t>
  </si>
  <si>
    <t>Valtin &amp; Shaffer p.291</t>
  </si>
  <si>
    <t>UrineVolume*</t>
  </si>
  <si>
    <t>UrineUreaNitrogenConcentration</t>
  </si>
  <si>
    <t>[5,10]</t>
  </si>
  <si>
    <t>LeftAfferentArterioleResistance</t>
  </si>
  <si>
    <t>(85mmHg - 60mmHg) / (RenalBloodFlow / 2)</t>
  </si>
  <si>
    <t>LeftBowmansCapsulesHydrostaticPressure</t>
  </si>
  <si>
    <t>LeftBowmansCapsulesOsmoticPressure</t>
  </si>
  <si>
    <t>LeftEfferentArterioleResistance</t>
  </si>
  <si>
    <t>(59mmHg - 18mmHg) / ((RenalBloodFlow - GFR) / 2)</t>
  </si>
  <si>
    <t>LeftFiltrationFraction</t>
  </si>
  <si>
    <t>LeftGlomerularCapillariesHydrostaticPressure</t>
  </si>
  <si>
    <t>LeftGlomerularCapillariesOsmoticPressure</t>
  </si>
  <si>
    <t>LeftGlomerularFiltrationCoefficient</t>
  </si>
  <si>
    <t>mL/min mmHg</t>
  </si>
  <si>
    <t>Rate/NetPressure</t>
  </si>
  <si>
    <t>LeftGlomerularFiltrationRate</t>
  </si>
  <si>
    <t>Total GFR / 2</t>
  </si>
  <si>
    <t>LeftGlomerularFiltrationSurfaceArea</t>
  </si>
  <si>
    <t>cm^2</t>
  </si>
  <si>
    <t>[7250,23250]</t>
  </si>
  <si>
    <t>[(SurfaceArea/100g&lt;sub&gt;RenalTissue&lt;/sub&gt;)*KidneyMass&lt;sub&gt;g&lt;/sub&gt;]</t>
  </si>
  <si>
    <t>5000-15000 cm^2 per 100 g renal tissue @cite valtin1995renal &lt;br&gt; mass of 2 kidneys in adult male = 310 g / 2 @cite valentin2002icrp</t>
  </si>
  <si>
    <t>LeftGlomerularFluidPermeability*</t>
  </si>
  <si>
    <t>mL/min mmHg m^2</t>
  </si>
  <si>
    <t>tuma2011microcirculation</t>
  </si>
  <si>
    <t>We don’t change this from 1.0</t>
  </si>
  <si>
    <t>LeftNetFiltrationPressure</t>
  </si>
  <si>
    <t>LeftNetReabsorptionPressure</t>
  </si>
  <si>
    <t>p340</t>
  </si>
  <si>
    <t>LeftPeritubularCapillariesHydrostaticPressure</t>
  </si>
  <si>
    <t>LeftPeritubularCapillariesOsmoticPressure</t>
  </si>
  <si>
    <t>LeftReabsorptionFiltrationCoefficient</t>
  </si>
  <si>
    <t>LeftReabsorptionRate</t>
  </si>
  <si>
    <t>TotalReabsorptionRate/2</t>
  </si>
  <si>
    <t>LeftTubularReabsorptionFiltrationSurfaceArea*</t>
  </si>
  <si>
    <t>m^2</t>
  </si>
  <si>
    <t>Cannot find</t>
  </si>
  <si>
    <t>LeftTubularReabsorptionFluidPermeability*</t>
  </si>
  <si>
    <t>LeftTubularHydrostaticPressure*</t>
  </si>
  <si>
    <t>LeftTubularOsmoticPressure</t>
  </si>
  <si>
    <t>RightAfferentArterioleResistance</t>
  </si>
  <si>
    <t>RightBowmansCapsulesHydrostaticPressure</t>
  </si>
  <si>
    <t>RightBowmansCapsulesOsmoticPressure</t>
  </si>
  <si>
    <t>RightEfferentArterioleResistance</t>
  </si>
  <si>
    <t>RightFiltrationFraction</t>
  </si>
  <si>
    <t>RightGlomerularCapillariesHydrostaticPressure</t>
  </si>
  <si>
    <t>RightGlomerularCapillariesOsmoticPressure</t>
  </si>
  <si>
    <t>RightGlomerularFiltrationCoefficient</t>
  </si>
  <si>
    <t>RightGlomerularFiltrationRate</t>
  </si>
  <si>
    <t>RightGlomerularFiltrationSurfaceArea</t>
  </si>
  <si>
    <t>RightGlomerularFluidPermeability*</t>
  </si>
  <si>
    <t>RightNetFiltrationPressure</t>
  </si>
  <si>
    <t>RightNetReabsorptionPressure</t>
  </si>
  <si>
    <t>RightPeritubularCapillariesHydrostaticPressure</t>
  </si>
  <si>
    <t>RightPeritubularCapillariesOsmoticPressure</t>
  </si>
  <si>
    <t>RightReabsorptionFiltrationCoefficient</t>
  </si>
  <si>
    <t>RightReabsorptionRate</t>
  </si>
  <si>
    <t>RightTubularReabsorptionFiltrationSurfaceArea*</t>
  </si>
  <si>
    <t>RightTubularReabsorptionFluidPermeability*</t>
  </si>
  <si>
    <t>RightTubularHydrostaticPressure*</t>
  </si>
  <si>
    <t>RightTubularOsmoticPressure</t>
  </si>
  <si>
    <t>LeftKidneyVasculature-Volume</t>
  </si>
  <si>
    <t>Blood only; Total/2</t>
  </si>
  <si>
    <t>RenalCompartments</t>
  </si>
  <si>
    <t>LeftRenalArtery-Volume</t>
  </si>
  <si>
    <t>LeftRenalVein-Volume</t>
  </si>
  <si>
    <t>LeftAfferentArteriole-Volume</t>
  </si>
  <si>
    <t>LeftGlomerularCapillaries-Volume</t>
  </si>
  <si>
    <t>LeftEfferentArteriole-Volume</t>
  </si>
  <si>
    <t>LeftPeritubularCapillaries-Volume</t>
  </si>
  <si>
    <t>LeftBowmansCapsules-Volume</t>
  </si>
  <si>
    <t>LeftTubules-Volume</t>
  </si>
  <si>
    <t>LeftUreter-Volume</t>
  </si>
  <si>
    <t>[(3.14*(diameter/2)&lt;sup&gt;2&lt;/sup&gt;)*length]</t>
  </si>
  <si>
    <t>Ureter Length 28.5 cm @cite valentin2002icrp &lt;br&gt; Estimated Diameter 0.89 mm (factoring vessel wall) @cite zelenko2004normal</t>
  </si>
  <si>
    <t>RightKidneyVasculature-Volume</t>
  </si>
  <si>
    <t>RightRenalArtery-Volume</t>
  </si>
  <si>
    <t>RightRenalVein-Volume</t>
  </si>
  <si>
    <t>RightAfferentArteriole-Volume</t>
  </si>
  <si>
    <t>RightGlomerularCapillaries-Volume</t>
  </si>
  <si>
    <t>RightEfferentArteriole-Volume</t>
  </si>
  <si>
    <t>RightPeritubularCapillaries-Volume</t>
  </si>
  <si>
    <t>RightBowmansCapsules-Volume</t>
  </si>
  <si>
    <t>RightTubules-Volume</t>
  </si>
  <si>
    <t>RightUreter-Volume</t>
  </si>
  <si>
    <t>LeftRenalArtery-Pressure</t>
  </si>
  <si>
    <t>(Beginning + End) / 2</t>
  </si>
  <si>
    <t>LeftRenalVein-Pressure</t>
  </si>
  <si>
    <t>LeftAfferentArteriole-Pressure</t>
  </si>
  <si>
    <t>LeftGlomerularCapillaries-Pressure</t>
  </si>
  <si>
    <t>Same as GlomerularCapillariesHydrostaticPressure</t>
  </si>
  <si>
    <t>LeftEfferentArteriole-Pressure</t>
  </si>
  <si>
    <t>LeftPeritubularCapillaries-Pressure</t>
  </si>
  <si>
    <t>[13, 18]</t>
  </si>
  <si>
    <t>321 &amp; 340</t>
  </si>
  <si>
    <t>LeftBowmansCapsules-Pressure</t>
  </si>
  <si>
    <t>Same as BowmansCapsulesHydrostaticPressure</t>
  </si>
  <si>
    <t>LeftTubules-Pressure*</t>
  </si>
  <si>
    <t>RightRenalArtery-Pressure</t>
  </si>
  <si>
    <t>RightRenalVein-Pressure</t>
  </si>
  <si>
    <t>RightAfferentArteriole-Pressure</t>
  </si>
  <si>
    <t>RightGlomerularCapillaries-Pressure</t>
  </si>
  <si>
    <t>RightEfferentArteriole-Pressure</t>
  </si>
  <si>
    <t>RightPeritubularCapillaries-Pressure</t>
  </si>
  <si>
    <t>RightBowmansCapsules-Pressure</t>
  </si>
  <si>
    <t>RightTubules-Pressure*</t>
  </si>
  <si>
    <t>LeftRenalArtery-InFlow</t>
  </si>
  <si>
    <t>1100/2</t>
  </si>
  <si>
    <t>LeftUreter-InFlow</t>
  </si>
  <si>
    <t>UrineProductionRate/2</t>
  </si>
  <si>
    <t>RightRenalArtery-InFlow</t>
  </si>
  <si>
    <t>RightUreter-InFlow</t>
  </si>
  <si>
    <t>Bladder-Acetoacetate-Concentration</t>
  </si>
  <si>
    <t>sapir1975renal</t>
  </si>
  <si>
    <t>Converted to g/L by multiplying by Acetoacetate Molar Mass: 66500g/mol</t>
  </si>
  <si>
    <t>TM limited</t>
  </si>
  <si>
    <t>TM = Transport Maximum; the maximum rate of renal retention</t>
  </si>
  <si>
    <t>Bladder-Albumin-Concentration</t>
  </si>
  <si>
    <t>tojo2012mechanisms</t>
  </si>
  <si>
    <t>(0.1 g/day excreted) / (1.5 L/day urine production)</t>
  </si>
  <si>
    <t>Clearance Rate * Body Weight * Healthy Plasma Concentration / Avg Urine Production Rate</t>
  </si>
  <si>
    <t>Bladder-Bicarbonate-Concentration</t>
  </si>
  <si>
    <t>Valtin &amp; Shaffer p. 10</t>
  </si>
  <si>
    <t>Converted to mg/L by multiplying by Bicarbonate Molar Mass: 61.02 g/mol</t>
  </si>
  <si>
    <t>Bladder-Calcium-Concentration</t>
  </si>
  <si>
    <t>[0.1,0.24]</t>
  </si>
  <si>
    <t>Valtin &amp; Shaffer p.290</t>
  </si>
  <si>
    <t>Converted to g/L by multiplying by Calcium Molar Mass: 40.08 g/mol</t>
  </si>
  <si>
    <t>Bladder-Creatinine-Concentration</t>
  </si>
  <si>
    <t>[0.68,2.26]</t>
  </si>
  <si>
    <t>Converted to g/L by multiplying by Creatinine Molar Mass: 113.12 g/mol</t>
  </si>
  <si>
    <t>Bladder-Glucose-Concentration</t>
  </si>
  <si>
    <t xml:space="preserve">Valtin &amp; Shaffer p.291
</t>
  </si>
  <si>
    <t>Apparently there can technically be some lost per day, but it's so minimal it doesn’t get detected by routine tests (V&amp;S) TM limited</t>
  </si>
  <si>
    <t>Bladder-Chloride-Concentration</t>
  </si>
  <si>
    <t>[1.06,4.61]</t>
  </si>
  <si>
    <t>Converted to g/L by multiplying by Sodium Molar Mass: 35.45 g/mol</t>
  </si>
  <si>
    <t>Bladder-Potassium-Concentration</t>
  </si>
  <si>
    <t>[0.78,2.74]</t>
  </si>
  <si>
    <t>Converted to g/L by multiplying by Sodium Molar Mass: 39.0983 g/mol</t>
  </si>
  <si>
    <t>Bladder-Lactate-Concentration</t>
  </si>
  <si>
    <t>bellomo2002bench</t>
  </si>
  <si>
    <t>Bellomo2002Bench</t>
  </si>
  <si>
    <t>Converted to g/L by multiplying by Lactate Molar Mass: 89.07 g/mol</t>
  </si>
  <si>
    <t>Bladder-Sodium-Concentration</t>
  </si>
  <si>
    <t>[0.69,2.99]</t>
  </si>
  <si>
    <t>Converted to g/L by multiplying by Sodium Molar Mass: 22.99 g/mol</t>
  </si>
  <si>
    <t>Bladder-Urea-Concentration</t>
  </si>
  <si>
    <t>[10,20]</t>
  </si>
  <si>
    <t>Substance Data</t>
  </si>
  <si>
    <t>Acetoacetate-Clearance-RenalClearance</t>
  </si>
  <si>
    <t>mL/min kg</t>
  </si>
  <si>
    <t>(UrineConcentration)(UrineProductionRate) / (PatientMass*(PlasmaConcentration))</t>
  </si>
  <si>
    <t>*Inferred from the given urine concentration, blood concentration and a urine production rate of 1500 mL/day</t>
  </si>
  <si>
    <t>RenalSubstances</t>
  </si>
  <si>
    <t>Albumin-Clearance-RenalClearance</t>
  </si>
  <si>
    <t>Tojo2012Mechanisms</t>
  </si>
  <si>
    <t>Converted from the 2.7 mL/day given by Dr. Moss to mL/min kg</t>
  </si>
  <si>
    <t>Albumin-Clearance-GlomerularFilterability</t>
  </si>
  <si>
    <t>0.001, 0.005</t>
  </si>
  <si>
    <t>rhoades2003medical, 
guyton2006medical</t>
  </si>
  <si>
    <t>Bicarbonate-Clearance-RenalClearance</t>
  </si>
  <si>
    <t>Valtin &amp; Shaffer p.10</t>
  </si>
  <si>
    <t>Bicarbonate-Clearance-RenalExcretionRate</t>
  </si>
  <si>
    <t>g/day</t>
  </si>
  <si>
    <t>converted from 2 mmol/day</t>
  </si>
  <si>
    <t>Bicarbonate-Clearance-RenalFiltrationRate</t>
  </si>
  <si>
    <t>converted from 4500 mmol/day</t>
  </si>
  <si>
    <t>Bicarbonate-Clearance-RenalReabsorptionRate</t>
  </si>
  <si>
    <t>converted from 4498 mmol/day</t>
  </si>
  <si>
    <t>Calcium-Clearance-RenalClearance</t>
  </si>
  <si>
    <t>[[urine](UrineProductionRate) / (PatientMass*[plasma])] @cite valtin1995renal</t>
  </si>
  <si>
    <t>Valtin &amp; Shaffer p.291*</t>
  </si>
  <si>
    <t>Calcium-Clearance-RenalExcretionRate</t>
  </si>
  <si>
    <t xml:space="preserve">[0.1, 0.2]
</t>
  </si>
  <si>
    <t>blaine2014renal</t>
  </si>
  <si>
    <t>converted from 0.0053 mEq/min</t>
  </si>
  <si>
    <t>Calcium-Clearance-RenalFiltrationRate</t>
  </si>
  <si>
    <t>converted from 0.5 mEq/min</t>
  </si>
  <si>
    <t>Calcium-Clearance-RenalReabsorptionRate</t>
  </si>
  <si>
    <t>[9.9,9.8]</t>
  </si>
  <si>
    <t>Calc from (Filtration - Excretion) &lt;br&gt; converted from 0.4947 mEq/min</t>
  </si>
  <si>
    <t>Creatinine-Clearance-RenalClearance</t>
  </si>
  <si>
    <t>Creatinine-Clearance-RenalExcretionRate</t>
  </si>
  <si>
    <t>mg/min</t>
  </si>
  <si>
    <t>[0.625,1.875]</t>
  </si>
  <si>
    <t>GFR*[PlasmaCreatinine]
used 125 mL/min for GFR</t>
  </si>
  <si>
    <t>Creatinine-Clearance-RenalFiltrationRate</t>
  </si>
  <si>
    <t>Creatinine-Clearance-RenalReabsorptionRate</t>
  </si>
  <si>
    <t>Creatinine not reabsorbed in normal physiology</t>
  </si>
  <si>
    <t>Glucose-Clearance-RenalClearance</t>
  </si>
  <si>
    <t>[[urine](UrineProductionRate) / (PatientMass*[plasma])]</t>
  </si>
  <si>
    <t>Valtin &amp; Shaffer p. 72</t>
  </si>
  <si>
    <t>According to literature all glucose is reabsorbed until the filtered load begins approaching the transport maximum, in reality a little gets through
@cite valtin1995renal</t>
  </si>
  <si>
    <t>Glucose-Clearance-RenalExcretionRate</t>
  </si>
  <si>
    <t>For our models we will follow the convention that glucose is 100% reabsorbed</t>
  </si>
  <si>
    <t>Glucose-Clearance-RenalFiltrationRate</t>
  </si>
  <si>
    <t>converted from 800 mmol/day</t>
  </si>
  <si>
    <t>Glucose-Clearance-GlomerularFilterability</t>
  </si>
  <si>
    <t>rhoades2003medical</t>
  </si>
  <si>
    <t>Glucose-Clearance-RenalReabsorptionRate</t>
  </si>
  <si>
    <t>converted from 799.5 mmol/day</t>
  </si>
  <si>
    <t>Hemoglobin-Clearance-GlomerularFilterability</t>
  </si>
  <si>
    <t>Implementation does not filter this, it should be NaN and fail. That is expected</t>
  </si>
  <si>
    <t>Lactate-Clearance-RenalClearance</t>
  </si>
  <si>
    <t>[urine](UrineProductionRate) / (PatientMass*[plasma]) @cite bellomo2002bench</t>
  </si>
  <si>
    <t>Sodium-Clearance-RenalClearance</t>
  </si>
  <si>
    <t>Sodium-Clearance-RenalExcretionRate</t>
  </si>
  <si>
    <t>converted from 150 mmol/day</t>
  </si>
  <si>
    <t>Sodium-Clearance-RenalFiltrationRate</t>
  </si>
  <si>
    <t>converted from 25000 mmol/day</t>
  </si>
  <si>
    <t>Sodium-Clearance-GlomerularFilterability</t>
  </si>
  <si>
    <t>Sodium-Clearance-RenalReabsorptionRate</t>
  </si>
  <si>
    <t>converted from 24850 mmol/day</t>
  </si>
  <si>
    <t>Chloride-Clearance-RenalClearance</t>
  </si>
  <si>
    <t>Chloride-Clearance-RenalExcretionRate</t>
  </si>
  <si>
    <t>Chloride-Clearance-RenalFiltrationRate</t>
  </si>
  <si>
    <t>converted from 18000 mmol/day</t>
  </si>
  <si>
    <t>Chloride-Clearance-GlomerularFilterability</t>
  </si>
  <si>
    <t>Chloride-Clearance-RenalReabsorptionRate</t>
  </si>
  <si>
    <t>Urea-Clearance-RenalClearance</t>
  </si>
  <si>
    <t>Urea-Clearance-RenalExcretionRate</t>
  </si>
  <si>
    <t>Urea-Clearance-RenalFiltrationRate</t>
  </si>
  <si>
    <t>Urea-Clearance-RenalReabsorptionRate</t>
  </si>
  <si>
    <t>Calculated from (Filtration - Excretion)</t>
  </si>
  <si>
    <t>Urinalysis</t>
  </si>
  <si>
    <t>Color</t>
  </si>
  <si>
    <t>Yellow</t>
  </si>
  <si>
    <t>N/A</t>
  </si>
  <si>
    <t>Color is a gradient based on Urine Osmolality</t>
  </si>
  <si>
    <t>Appearance*</t>
  </si>
  <si>
    <t>Negative</t>
  </si>
  <si>
    <t>walker1990clinical</t>
  </si>
  <si>
    <t>Determined by concentration &gt; 100mg/dL</t>
  </si>
  <si>
    <t>Ketone</t>
  </si>
  <si>
    <t>Determined by concentration &gt; 5 mg/dL</t>
  </si>
  <si>
    <t>Bilirubin*</t>
  </si>
  <si>
    <t>SpecificGravity</t>
  </si>
  <si>
    <t>Blood</t>
  </si>
  <si>
    <t>Determined by concentration &gt; 0.15 mg/dL</t>
  </si>
  <si>
    <t>pH*</t>
  </si>
  <si>
    <t>Protein</t>
  </si>
  <si>
    <t>Determined by concentration &gt; 25 mg/dL</t>
  </si>
  <si>
    <t>Urobilinogen*</t>
  </si>
  <si>
    <t>Nitrite*</t>
  </si>
  <si>
    <t>LeukocyteEsterase*</t>
  </si>
  <si>
    <t>AirwayPressure</t>
  </si>
  <si>
    <t>cmH2O</t>
  </si>
  <si>
    <t>kacmarek2016egan</t>
  </si>
  <si>
    <t>Atmospheric Pressure</t>
  </si>
  <si>
    <t>Respiratory</t>
  </si>
  <si>
    <t>AlveolarArterialGradient</t>
  </si>
  <si>
    <t>[5,14]</t>
  </si>
  <si>
    <t>costanzo2006brs</t>
  </si>
  <si>
    <t>"A conservative estimate of normal A–a gradient is less than [age in years/4] + 4. Thus, a 40-year-old should have an A–a gradient less than 14."</t>
  </si>
  <si>
    <t>2g</t>
  </si>
  <si>
    <t>AlveolarDeadSpace</t>
  </si>
  <si>
    <t>MeanPerIdealWeight(kg)</t>
  </si>
  <si>
    <t>p74</t>
  </si>
  <si>
    <t>Negligible</t>
  </si>
  <si>
    <t>"Volume of gas that enters unperfused aveoli per breath… A healthy young person has little or no alveolar dead space."</t>
  </si>
  <si>
    <t>AnatomicDeadSpace</t>
  </si>
  <si>
    <t>p71</t>
  </si>
  <si>
    <t>150mL for standard male</t>
  </si>
  <si>
    <t>ChestWallCompliance</t>
  </si>
  <si>
    <t>L/cmH2O</t>
  </si>
  <si>
    <t>p25</t>
  </si>
  <si>
    <t>ElasticWorkOfBreathing*</t>
  </si>
  <si>
    <t>J</t>
  </si>
  <si>
    <t>EndTidalCarbonDioxideFraction*</t>
  </si>
  <si>
    <t>EndTidalCarbonDioxidePressure</t>
  </si>
  <si>
    <t>[35, 45]</t>
  </si>
  <si>
    <t>p74 Fig 3-9</t>
  </si>
  <si>
    <t>EndTidalOxygenFraction*</t>
  </si>
  <si>
    <t>EndTidalOxygenPressure*</t>
  </si>
  <si>
    <t>ExpiratoryFlow</t>
  </si>
  <si>
    <t>L/s</t>
  </si>
  <si>
    <t>gupta2010characterizing</t>
  </si>
  <si>
    <t>Fig 1</t>
  </si>
  <si>
    <t>cmH2O s/L</t>
  </si>
  <si>
    <t>[0.5, 2.5]</t>
  </si>
  <si>
    <t>p233</t>
  </si>
  <si>
    <t>ExpiratoryTidalVolume</t>
  </si>
  <si>
    <t>p290 App IV</t>
  </si>
  <si>
    <t>FractionOfInspiredOxygen</t>
  </si>
  <si>
    <t>HorowitzIndex</t>
  </si>
  <si>
    <t>p503</t>
  </si>
  <si>
    <t>PaO2/FiO2 = 95 mmHg/0.21</t>
  </si>
  <si>
    <t>ImposedPowerOfBreathing*</t>
  </si>
  <si>
    <t>W</t>
  </si>
  <si>
    <t>ImposedWorkOfBreathing*</t>
  </si>
  <si>
    <t>InspiratoryExpiratoryRatio</t>
  </si>
  <si>
    <t>[0.25, 0.50]</t>
  </si>
  <si>
    <t xml:space="preserve"> p19</t>
  </si>
  <si>
    <t>1:2 to 1:4</t>
  </si>
  <si>
    <t>InspiratoryFlow</t>
  </si>
  <si>
    <t>InspiratoryTidalVolume</t>
  </si>
  <si>
    <t>IntrapleuralPressure</t>
  </si>
  <si>
    <t>p13</t>
  </si>
  <si>
    <t>IntrapulmonaryPressure</t>
  </si>
  <si>
    <t>[Tidal Volume] / [Total Compliance]</t>
  </si>
  <si>
    <t>LungCompliance</t>
  </si>
  <si>
    <t>MaximalInspiratoryPressure</t>
  </si>
  <si>
    <t>p14</t>
  </si>
  <si>
    <t>Peak inspiratory pressure in normal breathing is sometimes referred to as the maximal inspiratory pressure (MIPO), which is a negative value.  Therefore, this is the lowest alveolar pressure per breath.</t>
  </si>
  <si>
    <t>MeanAirwayPressure</t>
  </si>
  <si>
    <t>OxygenationIndex</t>
  </si>
  <si>
    <t>FiO2*MAP*100/PaO2</t>
  </si>
  <si>
    <t>OxygenSaturationIndex</t>
  </si>
  <si>
    <t>FiO2*MAP*100/SpO2</t>
  </si>
  <si>
    <t>PatientPowerOfBreathing*</t>
  </si>
  <si>
    <t>PatientWorkOfBreathing*</t>
  </si>
  <si>
    <t>PeakInspiratoryPressure</t>
  </si>
  <si>
    <t>In mechanical ventilation, the number reflects a positive pressure.</t>
  </si>
  <si>
    <t>PhysiologicDeadSpace</t>
  </si>
  <si>
    <t>PhysiologicDeadSpaceTidalVolumeRatio</t>
  </si>
  <si>
    <t>[0.20, 0.40]</t>
  </si>
  <si>
    <t>cala2004vd</t>
  </si>
  <si>
    <t>Positive end-expiratory pressure (PEEP) is the pressure in the lungs (alveolar pressure) above atmospheric pressure (the pressure outside of the body) that exists at the end of expiration. The two types of PEEP are extrinsic PEEP (PEEP applied by a ventilator) and intrinsic PEEP (PEEP caused by an incomplete exhalation). Pressure that is applied or increased during an inspiration is termed pressure support.</t>
  </si>
  <si>
    <t>[0.06, 0.14]</t>
  </si>
  <si>
    <t>p23-25</t>
  </si>
  <si>
    <r>
      <rPr>
        <sz val="9"/>
        <color rgb="FF000000"/>
        <rFont val="Calibri"/>
        <family val="2"/>
        <charset val="1"/>
      </rPr>
      <t xml:space="preserve">1/total compliance = 1/lung compliance + 1/Chest wall compliance
</t>
    </r>
    <r>
      <rPr>
        <u/>
        <sz val="9"/>
        <color rgb="FF000000"/>
        <rFont val="Calibri"/>
        <family val="2"/>
        <charset val="1"/>
      </rPr>
      <t xml:space="preserve">Total Compliance is about 0.1 L/cmH2O
</t>
    </r>
    <r>
      <rPr>
        <sz val="9"/>
        <color rgb="FF000000"/>
        <rFont val="Calibri"/>
        <family val="2"/>
        <charset val="1"/>
      </rPr>
      <t>Chest Wall Compliance is about 0.2 L/cmH2O
Lung Compliance is about 0.2 L/cmH2O
Considered normal if in the range of 60% to 140% of average.</t>
    </r>
  </si>
  <si>
    <t>cmH2O/L</t>
  </si>
  <si>
    <t>[7.14, 16.67]</t>
  </si>
  <si>
    <t>1/Compliance</t>
  </si>
  <si>
    <t>RelativeTotalLungVolume</t>
  </si>
  <si>
    <t>L</t>
  </si>
  <si>
    <t>ResistiveExpiratoryWorkOfBreathing*</t>
  </si>
  <si>
    <t>ResistiveInspiratoryWorkOfBreathing*</t>
  </si>
  <si>
    <t>RespirationRate</t>
  </si>
  <si>
    <t>[12.0, 20.0],
12.0,
12.0</t>
  </si>
  <si>
    <t>silverthorn2013human,
Levitzky2013pulmonary,
guyton2006medical</t>
  </si>
  <si>
    <t>p591 Tab 17.3,
p290 App IV,
p503</t>
  </si>
  <si>
    <t>RespiratoryMuscleFatigue*</t>
  </si>
  <si>
    <t>roussos1979fatigue</t>
  </si>
  <si>
    <t>RespiratoryMusclePressure*</t>
  </si>
  <si>
    <t>SaturationAndFractionOfInspiredOxygenRatio</t>
  </si>
  <si>
    <t>SpO2/FiO2 = 0.97/0.21</t>
  </si>
  <si>
    <t>SpecificVentilation</t>
  </si>
  <si>
    <t>Tidal Volume / FRC
0.007/0.030</t>
  </si>
  <si>
    <t>TidalVolume</t>
  </si>
  <si>
    <t>TotalAlveolarVentilation</t>
  </si>
  <si>
    <t>L/min</t>
  </si>
  <si>
    <t>60 ml/min/kg
Alveolar Ventilation = RR x (TV - Dead space)</t>
  </si>
  <si>
    <t>TotalDeadSpaceVentilation</t>
  </si>
  <si>
    <t>Total Pulmonary Ventilation - Total Alveolar Ventilation</t>
  </si>
  <si>
    <t>TotalLungVolume</t>
  </si>
  <si>
    <t>Derived from Tidal Volume (TV) and Functional Reserve Capacity (FRC)
FRC + 1/2 TV</t>
  </si>
  <si>
    <t>TotalPowerOfBreathing*</t>
  </si>
  <si>
    <t>TotalPulmonaryVentilation</t>
  </si>
  <si>
    <t>Derived from Tidal Volume (TV) and Respiration Rate (RR)
Minute ventilation = RRxTV</t>
  </si>
  <si>
    <t>TotalWorkOfBreathing*</t>
  </si>
  <si>
    <t>TransairwayPressure</t>
  </si>
  <si>
    <t>TransalveolarPressure</t>
  </si>
  <si>
    <t>p473</t>
  </si>
  <si>
    <t>TransChestWallPressure</t>
  </si>
  <si>
    <t>Relative pressure at the node between compliances</t>
  </si>
  <si>
    <t>TransMusclePressure</t>
  </si>
  <si>
    <t>TranspulmonaryPressure</t>
  </si>
  <si>
    <t>TransrespiratoryPressure</t>
  </si>
  <si>
    <t>p228</t>
  </si>
  <si>
    <t>No assistance (e.g., mechanical ventilator)</t>
  </si>
  <si>
    <t>TransthoracicPressure</t>
  </si>
  <si>
    <t>VentilationPerfusionRatio</t>
  </si>
  <si>
    <t>[0.8, 1.0]</t>
  </si>
  <si>
    <t>VQRatioOnline</t>
  </si>
  <si>
    <t>Carina-Pressure</t>
  </si>
  <si>
    <t>[1033.2, 1034.2]</t>
  </si>
  <si>
    <t>p466 Fig 37-2</t>
  </si>
  <si>
    <t>Assume  P&lt;sub&gt;atm&lt;/sub&gt; = 1033.2 cmH2O</t>
  </si>
  <si>
    <t>Between alveoli pulmonary pressure and atmospheric pressure</t>
  </si>
  <si>
    <t>RespiratoryCompartments</t>
  </si>
  <si>
    <t>5g</t>
  </si>
  <si>
    <t>GasCompartment</t>
  </si>
  <si>
    <t>[1032.2, 1033.2]</t>
  </si>
  <si>
    <t>Carina-Oxygen-PartialPressure</t>
  </si>
  <si>
    <t>[150.0, 160.0],
149.0</t>
  </si>
  <si>
    <t>silverthorn2013human, 
Levitzky2013pulmonary</t>
  </si>
  <si>
    <t>p577 Fig 17.6,
p76</t>
  </si>
  <si>
    <t>160.0 Dry Air @ 25 C
150.0 100% Humidity @ 37 C</t>
  </si>
  <si>
    <t>p77</t>
  </si>
  <si>
    <t>Carina-CarbonDioxide-PartialPressure</t>
  </si>
  <si>
    <t>[27.0, 43.0]</t>
  </si>
  <si>
    <t>p74 Fig 3-9 and p77</t>
  </si>
  <si>
    <t>[0.235, 0.250],
0.300</t>
  </si>
  <si>
    <t>0.25 Dry Air @ 25 C
0.235.0 100% Humidity @ 37 C</t>
  </si>
  <si>
    <t>LeftPleuralCavity-Pressure</t>
  </si>
  <si>
    <t xml:space="preserve"> m_TotalLungCapacity (Patient input data) - m_dResidualLungVolume</t>
  </si>
  <si>
    <t>RightPleuralCavity-Pressure</t>
  </si>
  <si>
    <t>PulmonaryLungs-Volume</t>
  </si>
  <si>
    <t>MinPerIdealWeight(kg)</t>
  </si>
  <si>
    <t>Functional Residual Capacity (FRC)</t>
  </si>
  <si>
    <t>MaxPerIdealWeight(kg)</t>
  </si>
  <si>
    <t>FRC + TV</t>
  </si>
  <si>
    <t>LeftLungPulmonary-Pressure</t>
  </si>
  <si>
    <t>[1034.0, 1038.2],
1034.2</t>
  </si>
  <si>
    <t>otis1947measurement,
guyton2006medical</t>
  </si>
  <si>
    <t>p111,
p466 Fig 37-2</t>
  </si>
  <si>
    <t>Same as Left Lung Alveoli Pulmonary Pressure</t>
  </si>
  <si>
    <t>[1028.2, 1032.4],
1032.2</t>
  </si>
  <si>
    <t>RightLungPulmonary-Pressure</t>
  </si>
  <si>
    <t>Same as Right Lung Alveoli Pulmonary Pressure</t>
  </si>
  <si>
    <t>LeftAlveoli-Volume</t>
  </si>
  <si>
    <t>FRC - Dead Space Volume
Scaled for right lung (55% of total)</t>
  </si>
  <si>
    <t>FRC + TV - Dead Space Volume
Scaled for right lung (55% of total)</t>
  </si>
  <si>
    <t>LeftAlveoli-Pressure</t>
  </si>
  <si>
    <t>LeftAlveoli-Oxygen-PartialPressure</t>
  </si>
  <si>
    <t>98.0,
100.0,
104.0</t>
  </si>
  <si>
    <t>silverthorn2013human,
lloyd1958relation,
Levitzky2013pulmonary</t>
  </si>
  <si>
    <t>p592,
p214,
p76</t>
  </si>
  <si>
    <t>LeftAlveoli-CarbonDioxide-PartialPressure</t>
  </si>
  <si>
    <t>40.0,
40.0,
54.4</t>
  </si>
  <si>
    <t>silverthorn2013human,
Levitzky2013pulmonary,
lloyd1958relation</t>
  </si>
  <si>
    <t xml:space="preserve">p592,
p76,
p214           </t>
  </si>
  <si>
    <t>RightAlveoli-Volume</t>
  </si>
  <si>
    <t>RightAlveoli-Pressure</t>
  </si>
  <si>
    <t>RightAlveoli-Oxygen-PartialPressure</t>
  </si>
  <si>
    <t>RightAlveoli-CarbonDioxide-PartialPressure</t>
  </si>
  <si>
    <t>LeftAnatomicDeadSpace-Volume</t>
  </si>
  <si>
    <t>Scaled for left lung (45% of total)</t>
  </si>
  <si>
    <t>LeftAnatomicDeadSpace-Oxygen-PartialPressure</t>
  </si>
  <si>
    <t>[104.0, 149.0]</t>
  </si>
  <si>
    <t>p76</t>
  </si>
  <si>
    <t>Between inspired and alveolar air values</t>
  </si>
  <si>
    <t>LeftAnatomicDeadSpace-CarbonDioxide-PartialPressure</t>
  </si>
  <si>
    <t>[0.03, 40.0]</t>
  </si>
  <si>
    <t>RightAnatomicDeadSpace-Volume</t>
  </si>
  <si>
    <t>Scaled for right lung (55% of total)</t>
  </si>
  <si>
    <t>RightAnatomicDeadSpace-Oxygen-PartialPressure</t>
  </si>
  <si>
    <t>RightAnatomicDeadSpace-CarbonDioxide-PartialPressure</t>
  </si>
  <si>
    <t>Women</t>
  </si>
  <si>
    <t>CarbonDioxideProductionRate</t>
  </si>
  <si>
    <t xml:space="preserve">guyton2006medical </t>
  </si>
  <si>
    <t>Tissue</t>
  </si>
  <si>
    <t>ExtracellularFluidVolume</t>
  </si>
  <si>
    <t>rodgers2005physiologically</t>
  </si>
  <si>
    <t>Excluding intravascular fluid, sum of compartments</t>
  </si>
  <si>
    <t>Change to a fraction of the total extravascular volume</t>
  </si>
  <si>
    <t>ExtravascularFluidVolume</t>
  </si>
  <si>
    <t>Note this is a sum of the ev's below</t>
  </si>
  <si>
    <t>This is a sum of the volumes</t>
  </si>
  <si>
    <t>IntracellularFluidPH</t>
  </si>
  <si>
    <t>[6.0,7.4],
 7.0</t>
  </si>
  <si>
    <t>p384</t>
  </si>
  <si>
    <t>This is a constant</t>
  </si>
  <si>
    <t>IntracellularFluidVolume</t>
  </si>
  <si>
    <t>Excluding intravascular fluid</t>
  </si>
  <si>
    <t>OxygenConsumptionRate</t>
  </si>
  <si>
    <t>RespiratoryExchangeRatio</t>
  </si>
  <si>
    <t>gropper2013nutrition</t>
  </si>
  <si>
    <t>p291</t>
  </si>
  <si>
    <t>Alveolar Transfer</t>
  </si>
  <si>
    <t>CarbonDioxide-AlveolarTransfer</t>
  </si>
  <si>
    <t>p78</t>
  </si>
  <si>
    <t>Oxygen-AlveolarTransfer</t>
  </si>
  <si>
    <t>Volumes</t>
  </si>
  <si>
    <t>FatTissue-TotalVolume</t>
  </si>
  <si>
    <t>8 of online supplement</t>
  </si>
  <si>
    <t>Huisinga assumes density of 0.92 kg/L to compute adipose tissue volume</t>
  </si>
  <si>
    <t>TissueCompartments</t>
  </si>
  <si>
    <t>TissueCompartment</t>
  </si>
  <si>
    <t>FatTissueExtracellular-Volume</t>
  </si>
  <si>
    <t>FatTissueIntracellular-Volume</t>
  </si>
  <si>
    <t>BoneTissue-TotalVolume</t>
  </si>
  <si>
    <t>Huisinga assumes density of 1.3 kg/L to compute skeletal tissue volume</t>
  </si>
  <si>
    <t>BoneTissueExtracellular-Volume</t>
  </si>
  <si>
    <t>BoneTissueIntracellular-Volume</t>
  </si>
  <si>
    <t>BrainTissue-TotalVolume</t>
  </si>
  <si>
    <t>Huisinga assumes density of 1.0 kg/L</t>
  </si>
  <si>
    <t>BrainTissueExtracellular-Volume</t>
  </si>
  <si>
    <t>BrainTissueIntracellular-Volume</t>
  </si>
  <si>
    <t>GutTissue-TotalVolume</t>
  </si>
  <si>
    <t>GutTissueExtracellular-Volume</t>
  </si>
  <si>
    <t>GutTissueIntracellular-Volume</t>
  </si>
  <si>
    <t>RightKidneyTissue-TotalVolume</t>
  </si>
  <si>
    <t>RightKidneyTissueExtracellular-Volume</t>
  </si>
  <si>
    <t>RightKidneyTissueIntracellular-Volume</t>
  </si>
  <si>
    <t>LeftKidneyTissue-TotalVolume</t>
  </si>
  <si>
    <t>LeftKidneyTissueExtracellular-Volume</t>
  </si>
  <si>
    <t>LeftKidneyTissueIntracellular-Volume</t>
  </si>
  <si>
    <t>LiverTissue-TotalVolume</t>
  </si>
  <si>
    <t>LiverTissueExtracellular-Volume</t>
  </si>
  <si>
    <t>LiverTissueIntracellular-Volume</t>
  </si>
  <si>
    <t>RightLungTissue-TotalVolume</t>
  </si>
  <si>
    <t>RightLungTissueExtracellular-Volume</t>
  </si>
  <si>
    <t>RightLungTissueIntracellular-Volume</t>
  </si>
  <si>
    <t>LeftLungTissue-TotalVolume</t>
  </si>
  <si>
    <t>LeftLungTissueExtracellular-Volume</t>
  </si>
  <si>
    <t>LeftLungTissueIntracellular-Volume</t>
  </si>
  <si>
    <t>MuscleTissue-TotalVolume</t>
  </si>
  <si>
    <t>MuscleTissueExtracellular-Volume</t>
  </si>
  <si>
    <t>MuscleTissueIntracellular-Volume</t>
  </si>
  <si>
    <t>Muscle-Glucose-ExtracellularMolarity*</t>
  </si>
  <si>
    <t>[3.5,3.9]</t>
  </si>
  <si>
    <t>maclean1999muscle</t>
  </si>
  <si>
    <t>Muscle-Lactate-ExtracellularMolarity*</t>
  </si>
  <si>
    <t>[0.3,1.3]</t>
  </si>
  <si>
    <t>Assumed same as plasma except in muscles, where it is produced</t>
  </si>
  <si>
    <t>MyocardiumTissue-TotalVolume</t>
  </si>
  <si>
    <t>MyocardiumTissueExtracellular-Volume</t>
  </si>
  <si>
    <t>MyocardiumTissueIntracellular-Volume</t>
  </si>
  <si>
    <t>SkinTissue-TotalVolume</t>
  </si>
  <si>
    <t>SkinTissueExtracellular-Volume</t>
  </si>
  <si>
    <t>SkinTissueIntracellular-Volume</t>
  </si>
  <si>
    <t>SpleenTissue-TotalVolume</t>
  </si>
  <si>
    <t>SpleenTissueExtracellular-Volume</t>
  </si>
  <si>
    <t>SpleenTissueIntracellular-Volume</t>
  </si>
  <si>
    <t>Concentrations</t>
  </si>
  <si>
    <t>Acetoacetate-ExtracellularMolarity*</t>
  </si>
  <si>
    <t>[0.08,0.1]</t>
  </si>
  <si>
    <t>Assumed to be the same as plasma. NO SCIENTIFIC BASIS for this assumption</t>
  </si>
  <si>
    <t>TissueSubstances</t>
  </si>
  <si>
    <t>Albumin-ExtracellularMolarity*</t>
  </si>
  <si>
    <t>Bicarbonate-ExtracellularMolarity*</t>
  </si>
  <si>
    <t>boron2012medical</t>
  </si>
  <si>
    <t>p108</t>
  </si>
  <si>
    <t>Calcium-ExtracellularMolarity*</t>
  </si>
  <si>
    <t>CarbonDioxide-ExtracellularMolarity*</t>
  </si>
  <si>
    <t>[1.7 ,2.2]</t>
  </si>
  <si>
    <t>Cannot find validation. It's being produced in the tissues. Should be around venous values as only dissolved diffuses.</t>
  </si>
  <si>
    <t>Chloride-ExtracellularMolarity*</t>
  </si>
  <si>
    <t>Creatinine-ExtracellularMolarity*</t>
  </si>
  <si>
    <t>Cannot find validation data. We know that it is produced in muscle cells and it diffuses into blood, so the concentration should be elevated in muscles, and I would imagine also in the muscle interstitial space.</t>
  </si>
  <si>
    <t>Epinephrine-ExtracellularMolarity*</t>
  </si>
  <si>
    <t>pmol/L</t>
  </si>
  <si>
    <t>[245, 605],
[0.01,273]</t>
  </si>
  <si>
    <t>Zauner2000starvation,
Kratz2004Case</t>
  </si>
  <si>
    <t xml:space="preserve">
p1558</t>
  </si>
  <si>
    <t>Assumed to be the same as plasma everywhere except in the compartment where it is produced. The adrenals are on the kidneys, and epi is cleared in the kidneys. Probably the model should be that the concentration is set to basal everywhere, and if there is an increase or decrease in production or consumption the the kidney EV concentration may be different from vascular.</t>
  </si>
  <si>
    <t>Glucose-ExtracellularMolarity*</t>
  </si>
  <si>
    <t>Hemoglobin-ExtracellularMolarity*</t>
  </si>
  <si>
    <t>no reference - too large to diffuse</t>
  </si>
  <si>
    <t>Insulin-ExtracellularMolarity*</t>
  </si>
  <si>
    <t>[0.01,118.1],
59.75</t>
  </si>
  <si>
    <t>Leeuwen2015laboratory,
polonsky1987insulin</t>
  </si>
  <si>
    <t>p978</t>
  </si>
  <si>
    <t>Lactate-ExtracellularMolarity*</t>
  </si>
  <si>
    <t>[0.6,1.7]</t>
  </si>
  <si>
    <t>Kratz2004Case</t>
  </si>
  <si>
    <t>p1555</t>
  </si>
  <si>
    <t>Assumed same as plasma except in muscles, where it is produced. There is evidence that it is higher in the skin interstitium than in the blood, which suggests that it could be higher in all the extracellular space (petersen1999interstitial)</t>
  </si>
  <si>
    <t>Nitrogen-ExtracellularMolarity*</t>
  </si>
  <si>
    <t>Cannot find validation, but it dissolves freely and doesn't bind to anything, so it should be Henry's law.</t>
  </si>
  <si>
    <t>Norepinephrine-ExtracellularMolarity*</t>
  </si>
  <si>
    <t>[650,2423]</t>
  </si>
  <si>
    <t>p1559</t>
  </si>
  <si>
    <t>Oxygen-ExtracellularMolarity*</t>
  </si>
  <si>
    <t>[0.03,0.07]</t>
  </si>
  <si>
    <t>Potassium-ExtracellularMolarity*</t>
  </si>
  <si>
    <t>Sodium-ExtracellularMolarity*</t>
  </si>
  <si>
    <t>Tristearin-ExtracellularMolarity*</t>
  </si>
  <si>
    <t>This is a tough one</t>
  </si>
  <si>
    <t>Urea-ExtracellularMolarity*</t>
  </si>
  <si>
    <t>Assume same as plasma based on comment on pg. 289 of Valtin "urea diffuses freely into cells"</t>
  </si>
  <si>
    <t>Acetoacetate-IntracellularMolarity*</t>
  </si>
  <si>
    <t>Albumin-IntracellularMolarity*</t>
  </si>
  <si>
    <t>Assumed to be same as interstitium</t>
  </si>
  <si>
    <t>Bicarbonate-IntracellularMolarity*</t>
  </si>
  <si>
    <t>Calcium-IntracellularMolarity*</t>
  </si>
  <si>
    <t>CarbonDioxide-IntracellularMolarity*</t>
  </si>
  <si>
    <t>Chloride-IntracellularMolarity*</t>
  </si>
  <si>
    <t>Creatinine-IntracellularMolarity*</t>
  </si>
  <si>
    <t>Cannot find validation data. We know that it is produced in muscle cells and it diffuses into blood, so the concentration should be elevated in muscles.</t>
  </si>
  <si>
    <t>Epinephrine-IntracellularMolarity*</t>
  </si>
  <si>
    <t>Glucose-IntracellularMolarity*</t>
  </si>
  <si>
    <t>Hemoglobin-IntracellularMolarity*</t>
  </si>
  <si>
    <t>Insulin-IntracellularMolarity*</t>
  </si>
  <si>
    <t>Lactate-IntracellularMolarity*</t>
  </si>
  <si>
    <t>Nitrogen-IntracellularMolarity*</t>
  </si>
  <si>
    <t>Norepinephrine-IntracellularMolarity*</t>
  </si>
  <si>
    <t>Oxygen-IntracellularMolarity*</t>
  </si>
  <si>
    <t>Potassium-IntracellularMolarity*</t>
  </si>
  <si>
    <t>Sodium-IntracellularMolarity*</t>
  </si>
  <si>
    <t>Tristearin-IntracellularMolarity*</t>
  </si>
  <si>
    <t>Urea-IntracellularMolarity*</t>
  </si>
  <si>
    <t>CardiovascularExtended</t>
  </si>
  <si>
    <t>CardiovascularCompartmentsExtended</t>
  </si>
  <si>
    <t>SweatRate</t>
  </si>
  <si>
    <t>Converted from 500 mL/day assuming a density of 1,000 kg/m3</t>
  </si>
  <si>
    <t>marriott1993water</t>
  </si>
  <si>
    <t>TotalFluidVolume</t>
  </si>
  <si>
    <t>PlasmaOsmolality</t>
  </si>
  <si>
    <t>[275,295]</t>
  </si>
  <si>
    <t>PlasmaOsmolarity*</t>
  </si>
  <si>
    <t>ExpiratoryRespiratoryResistance</t>
  </si>
  <si>
    <t>InspiratoryRespiratoryResistance</t>
  </si>
  <si>
    <t>IntrinsicPositiveEndExpiratoryPressure</t>
  </si>
  <si>
    <t>RespiratoryCompliance</t>
  </si>
  <si>
    <t>RespiratoryElastance</t>
  </si>
  <si>
    <t>ExtrinsicPositiveEndExpiratoryPressure</t>
  </si>
  <si>
    <t>TotalPositiveEndExpiratoryPressure</t>
  </si>
  <si>
    <t>Same as Tidal Volume</t>
  </si>
  <si>
    <t xml:space="preserve">TotalKidneyLargeVasculature = TotalKidney/2 &lt;br&gt; LargeVasculature = TotalKidneyLargeVasculature/3 </t>
  </si>
  <si>
    <t>TotalKidneySmallVasculature = TotalKidney/2 &lt;br&gt; SmallVasculature = TotalKidneySmallVasculature/5</t>
  </si>
  <si>
    <t>[6.0,7.4]</t>
  </si>
  <si>
    <t>guyton2006medical, rodgers2005physiologically</t>
  </si>
  <si>
    <t>Enumeration</t>
  </si>
  <si>
    <t>ABG@120s</t>
  </si>
  <si>
    <t>CBC@120s</t>
  </si>
  <si>
    <t>CMP@120s</t>
  </si>
  <si>
    <t>Urinalysis@120s</t>
  </si>
  <si>
    <t>Any changes should be done to system row above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</si>
</sst>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0"/>
  </numFmts>
  <fonts count="14">
    <font>
      <sz val="11"/>
      <color rgb="FF000000"/>
      <name val="Calibri"/>
      <family val="2"/>
      <charset val="1"/>
    </font>
    <font>
      <sz val="9"/>
      <color rgb="FF000000"/>
      <name val="Calibri"/>
      <family val="2"/>
      <charset val="1"/>
    </font>
    <font>
      <b/>
      <sz val="9"/>
      <color rgb="FFFFFFFF"/>
      <name val="Calibri"/>
      <family val="2"/>
      <charset val="1"/>
    </font>
    <font>
      <sz val="9"/>
      <name val="Calibri"/>
      <family val="2"/>
      <charset val="1"/>
    </font>
    <font>
      <b/>
      <sz val="9"/>
      <name val="Calibri"/>
      <family val="2"/>
      <charset val="1"/>
    </font>
    <font>
      <u/>
      <sz val="11"/>
      <color rgb="FF0000FF"/>
      <name val="Calibri"/>
      <family val="2"/>
      <charset val="1"/>
    </font>
    <font>
      <u/>
      <sz val="9"/>
      <color rgb="FF0000FF"/>
      <name val="Calibri"/>
      <family val="2"/>
      <charset val="1"/>
    </font>
    <font>
      <b/>
      <sz val="9"/>
      <color rgb="FF000000"/>
      <name val="Calibri"/>
      <family val="2"/>
      <charset val="1"/>
    </font>
    <font>
      <sz val="8"/>
      <color rgb="FF000000"/>
      <name val="Calibri"/>
      <family val="2"/>
      <charset val="1"/>
    </font>
    <font>
      <sz val="10"/>
      <color rgb="FF000000"/>
      <name val="Arial Unicode MS"/>
      <family val="2"/>
      <charset val="1"/>
    </font>
    <font>
      <b/>
      <sz val="9"/>
      <color rgb="FFFFFFFF"/>
      <name val="Calibri"/>
      <family val="2"/>
    </font>
    <font>
      <sz val="9"/>
      <color rgb="FF333333"/>
      <name val="Arial"/>
      <family val="2"/>
      <charset val="1"/>
    </font>
    <font>
      <u/>
      <sz val="9"/>
      <color rgb="FF000000"/>
      <name val="Calibri"/>
      <family val="2"/>
      <charset val="1"/>
    </font>
    <font>
      <sz val="9"/>
      <color rgb="FF0000FF"/>
      <name val="Calibri"/>
      <family val="2"/>
      <charset val="1"/>
    </font>
  </fonts>
  <fills count="10">
    <fill>
      <patternFill patternType="none"/>
    </fill>
    <fill>
      <patternFill patternType="gray125"/>
    </fill>
    <fill>
      <patternFill patternType="solid">
        <fgColor rgb="FF002060"/>
        <bgColor rgb="FF000080"/>
      </patternFill>
    </fill>
    <fill>
      <patternFill patternType="solid">
        <fgColor rgb="FFFFFFFF"/>
        <bgColor rgb="FFFFFFCC"/>
      </patternFill>
    </fill>
    <fill>
      <patternFill patternType="solid">
        <fgColor rgb="FFC6D9F1"/>
        <bgColor rgb="FFC5D9F1"/>
      </patternFill>
    </fill>
    <fill>
      <patternFill patternType="solid">
        <fgColor rgb="FFC5D9F1"/>
        <bgColor rgb="FFC6D9F1"/>
      </patternFill>
    </fill>
    <fill>
      <patternFill patternType="solid">
        <fgColor rgb="FFFFFF00"/>
        <bgColor rgb="FFFFFF00"/>
      </patternFill>
    </fill>
    <fill>
      <patternFill patternType="solid">
        <fgColor rgb="FFB9CDE5"/>
        <bgColor rgb="FFC5D9F1"/>
      </patternFill>
    </fill>
    <fill>
      <patternFill patternType="solid">
        <fgColor rgb="FFD9D9D9"/>
        <bgColor rgb="FFC6D9F1"/>
      </patternFill>
    </fill>
    <fill>
      <patternFill patternType="solid">
        <fgColor rgb="FFFFC000"/>
        <bgColor rgb="FFFF99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5" fillId="0" borderId="0" applyBorder="0" applyProtection="0"/>
  </cellStyleXfs>
  <cellXfs count="121">
    <xf numFmtId="0" fontId="0" fillId="0" borderId="0" xfId="0"/>
    <xf numFmtId="0" fontId="1" fillId="0" borderId="0" xfId="0" applyFont="1"/>
    <xf numFmtId="0" fontId="1" fillId="0" borderId="0" xfId="0" applyFont="1" applyAlignment="1">
      <alignment horizontal="center" vertical="center"/>
    </xf>
    <xf numFmtId="0" fontId="2" fillId="2" borderId="1" xfId="0" applyFont="1" applyFill="1" applyBorder="1" applyAlignment="1">
      <alignment horizontal="center" vertical="center" wrapText="1"/>
    </xf>
    <xf numFmtId="0" fontId="1" fillId="0" borderId="1" xfId="0" applyFont="1" applyBorder="1"/>
    <xf numFmtId="0" fontId="1" fillId="0" borderId="1" xfId="0" applyFont="1" applyBorder="1" applyAlignment="1">
      <alignment horizontal="center" vertical="center"/>
    </xf>
    <xf numFmtId="1" fontId="1" fillId="0" borderId="1" xfId="0" applyNumberFormat="1" applyFont="1" applyBorder="1" applyAlignment="1">
      <alignment horizontal="center" vertical="center"/>
    </xf>
    <xf numFmtId="2" fontId="1" fillId="0" borderId="1" xfId="0" applyNumberFormat="1" applyFont="1" applyBorder="1" applyAlignment="1">
      <alignment horizontal="center" vertical="center"/>
    </xf>
    <xf numFmtId="0" fontId="3" fillId="3"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4" fillId="4" borderId="1" xfId="0" applyFont="1" applyFill="1" applyBorder="1" applyAlignment="1">
      <alignment vertical="center" wrapText="1"/>
    </xf>
    <xf numFmtId="0" fontId="3"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1" fillId="0" borderId="1" xfId="0" applyFont="1" applyBorder="1" applyAlignment="1">
      <alignment horizontal="center"/>
    </xf>
    <xf numFmtId="0" fontId="3" fillId="3" borderId="4" xfId="0"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1" xfId="0" applyFont="1" applyFill="1" applyBorder="1" applyAlignment="1">
      <alignment wrapText="1"/>
    </xf>
    <xf numFmtId="0" fontId="3" fillId="3" borderId="1" xfId="0" applyFont="1" applyFill="1" applyBorder="1" applyAlignment="1">
      <alignment horizontal="center" vertical="center"/>
    </xf>
    <xf numFmtId="0" fontId="6" fillId="0" borderId="1" xfId="1" applyFont="1" applyBorder="1" applyAlignment="1" applyProtection="1">
      <alignment wrapText="1"/>
    </xf>
    <xf numFmtId="1" fontId="3" fillId="3" borderId="1" xfId="0" applyNumberFormat="1" applyFont="1" applyFill="1" applyBorder="1" applyAlignment="1">
      <alignment horizontal="center" vertical="center" wrapText="1"/>
    </xf>
    <xf numFmtId="1" fontId="3" fillId="3" borderId="1" xfId="0" applyNumberFormat="1" applyFont="1" applyFill="1" applyBorder="1" applyAlignment="1">
      <alignment horizontal="center" vertical="center"/>
    </xf>
    <xf numFmtId="11" fontId="3" fillId="3" borderId="1" xfId="0" applyNumberFormat="1" applyFont="1" applyFill="1" applyBorder="1" applyAlignment="1">
      <alignment horizontal="center" vertical="center" wrapText="1"/>
    </xf>
    <xf numFmtId="0" fontId="3" fillId="0" borderId="1" xfId="0" applyFont="1" applyBorder="1" applyAlignment="1">
      <alignment wrapText="1"/>
    </xf>
    <xf numFmtId="0" fontId="1" fillId="0" borderId="1" xfId="0" applyFont="1" applyBorder="1" applyAlignment="1">
      <alignment horizontal="center" vertical="center" wrapText="1"/>
    </xf>
    <xf numFmtId="3" fontId="3" fillId="3" borderId="1" xfId="0" applyNumberFormat="1"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0" xfId="0" applyFont="1" applyFill="1" applyAlignment="1">
      <alignment horizontal="center" vertical="center" wrapText="1"/>
    </xf>
    <xf numFmtId="0" fontId="7" fillId="5" borderId="1" xfId="0" applyFont="1" applyFill="1" applyBorder="1" applyAlignment="1">
      <alignment vertical="center" wrapText="1"/>
    </xf>
    <xf numFmtId="49" fontId="8" fillId="0" borderId="1" xfId="0" applyNumberFormat="1" applyFont="1" applyBorder="1" applyAlignment="1">
      <alignment vertical="center" wrapText="1"/>
    </xf>
    <xf numFmtId="49" fontId="8" fillId="0" borderId="0" xfId="0" applyNumberFormat="1" applyFont="1" applyAlignment="1">
      <alignment vertical="center" wrapText="1"/>
    </xf>
    <xf numFmtId="0" fontId="1" fillId="0" borderId="1" xfId="0" applyFont="1" applyBorder="1" applyAlignment="1">
      <alignment wrapText="1"/>
    </xf>
    <xf numFmtId="0" fontId="1" fillId="0" borderId="1" xfId="0" applyFont="1" applyBorder="1" applyAlignment="1">
      <alignment horizontal="left" vertical="center"/>
    </xf>
    <xf numFmtId="0" fontId="3" fillId="6"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3" borderId="1" xfId="0" applyFont="1" applyFill="1" applyBorder="1" applyAlignment="1">
      <alignment vertical="center"/>
    </xf>
    <xf numFmtId="0" fontId="1" fillId="0" borderId="0" xfId="0" applyFont="1" applyAlignment="1">
      <alignment vertical="center" wrapText="1"/>
    </xf>
    <xf numFmtId="0" fontId="5" fillId="0" borderId="1" xfId="1" applyBorder="1" applyAlignment="1" applyProtection="1">
      <alignment vertical="center"/>
    </xf>
    <xf numFmtId="0" fontId="4" fillId="7" borderId="1" xfId="0" applyFont="1" applyFill="1" applyBorder="1" applyAlignment="1">
      <alignment horizontal="left" vertical="center" wrapText="1"/>
    </xf>
    <xf numFmtId="0" fontId="5" fillId="0" borderId="0" xfId="1" applyBorder="1" applyAlignment="1" applyProtection="1">
      <alignment vertical="center"/>
    </xf>
    <xf numFmtId="11" fontId="1" fillId="0" borderId="1" xfId="0" applyNumberFormat="1" applyFont="1" applyBorder="1" applyAlignment="1">
      <alignment horizontal="center"/>
    </xf>
    <xf numFmtId="0" fontId="9" fillId="0" borderId="0" xfId="0" applyFont="1" applyAlignment="1">
      <alignment horizontal="center" vertical="center"/>
    </xf>
    <xf numFmtId="3" fontId="1" fillId="0" borderId="1" xfId="0" applyNumberFormat="1" applyFont="1" applyBorder="1" applyAlignment="1">
      <alignment horizontal="center"/>
    </xf>
    <xf numFmtId="0" fontId="1" fillId="0" borderId="0" xfId="0" applyFont="1" applyAlignment="1">
      <alignment horizontal="center"/>
    </xf>
    <xf numFmtId="0" fontId="1" fillId="0" borderId="0" xfId="0" applyFont="1" applyAlignment="1">
      <alignment horizontal="center" vertical="center" wrapText="1"/>
    </xf>
    <xf numFmtId="0" fontId="1" fillId="0" borderId="0" xfId="0" applyFont="1" applyAlignment="1">
      <alignment wrapText="1"/>
    </xf>
    <xf numFmtId="0" fontId="4" fillId="8" borderId="1" xfId="0" applyFont="1" applyFill="1" applyBorder="1" applyAlignment="1">
      <alignment vertical="center" wrapText="1"/>
    </xf>
    <xf numFmtId="0" fontId="3" fillId="0" borderId="6" xfId="0" applyFont="1" applyBorder="1"/>
    <xf numFmtId="2" fontId="3" fillId="3" borderId="1" xfId="0" applyNumberFormat="1" applyFont="1" applyFill="1" applyBorder="1" applyAlignment="1">
      <alignment horizontal="center" vertical="center"/>
    </xf>
    <xf numFmtId="0" fontId="3" fillId="0" borderId="1" xfId="0" applyFont="1" applyBorder="1" applyAlignment="1">
      <alignment horizontal="center" vertical="center"/>
    </xf>
    <xf numFmtId="2" fontId="3" fillId="3" borderId="1" xfId="0" applyNumberFormat="1" applyFont="1" applyFill="1" applyBorder="1" applyAlignment="1">
      <alignment horizontal="center" vertical="center" wrapText="1"/>
    </xf>
    <xf numFmtId="49" fontId="3" fillId="3" borderId="1" xfId="0" applyNumberFormat="1" applyFont="1" applyFill="1" applyBorder="1" applyAlignment="1">
      <alignment horizontal="center" vertical="center" wrapText="1"/>
    </xf>
    <xf numFmtId="0" fontId="3" fillId="0" borderId="0" xfId="0" applyFont="1" applyAlignment="1">
      <alignment wrapText="1"/>
    </xf>
    <xf numFmtId="0" fontId="3" fillId="0" borderId="1" xfId="1" applyFont="1" applyBorder="1" applyAlignment="1" applyProtection="1">
      <alignment horizontal="center" vertical="center" wrapText="1"/>
    </xf>
    <xf numFmtId="0" fontId="1" fillId="0" borderId="6" xfId="0" applyFont="1" applyBorder="1"/>
    <xf numFmtId="0" fontId="10" fillId="2" borderId="2" xfId="0" applyFont="1" applyFill="1" applyBorder="1" applyAlignment="1">
      <alignment horizontal="center" vertical="center" wrapText="1"/>
    </xf>
    <xf numFmtId="0" fontId="10" fillId="2" borderId="0" xfId="0" applyFont="1" applyFill="1" applyAlignment="1">
      <alignment horizontal="center" vertical="center" wrapText="1"/>
    </xf>
    <xf numFmtId="0" fontId="0" fillId="0" borderId="1" xfId="0" applyBorder="1"/>
    <xf numFmtId="2" fontId="3" fillId="0" borderId="1" xfId="0" applyNumberFormat="1" applyFont="1" applyBorder="1" applyAlignment="1">
      <alignment horizontal="center" vertical="center" wrapText="1"/>
    </xf>
    <xf numFmtId="0" fontId="4" fillId="3" borderId="1" xfId="0" applyFont="1" applyFill="1" applyBorder="1" applyAlignment="1">
      <alignment horizontal="left" vertical="center" wrapText="1"/>
    </xf>
    <xf numFmtId="0" fontId="1" fillId="0" borderId="1" xfId="0" applyFont="1" applyBorder="1" applyAlignment="1">
      <alignment vertical="center"/>
    </xf>
    <xf numFmtId="0" fontId="1" fillId="0" borderId="0" xfId="0" applyFont="1" applyAlignment="1">
      <alignment vertical="center"/>
    </xf>
    <xf numFmtId="0" fontId="0" fillId="0" borderId="0" xfId="0" applyAlignment="1">
      <alignment horizontal="center"/>
    </xf>
    <xf numFmtId="0" fontId="2" fillId="2" borderId="1" xfId="0" applyFont="1" applyFill="1" applyBorder="1" applyAlignment="1">
      <alignment vertical="center" wrapText="1"/>
    </xf>
    <xf numFmtId="0" fontId="0" fillId="0" borderId="1" xfId="0" applyBorder="1" applyAlignment="1">
      <alignment horizontal="center"/>
    </xf>
    <xf numFmtId="0" fontId="4" fillId="4" borderId="1" xfId="0" applyFont="1" applyFill="1" applyBorder="1" applyAlignment="1">
      <alignment horizontal="left" vertical="center" wrapText="1"/>
    </xf>
    <xf numFmtId="0" fontId="4" fillId="4" borderId="2" xfId="0" applyFont="1" applyFill="1" applyBorder="1" applyAlignment="1">
      <alignment horizontal="left" vertical="center" wrapText="1"/>
    </xf>
    <xf numFmtId="0" fontId="1" fillId="0" borderId="2" xfId="0" applyFont="1" applyBorder="1" applyAlignment="1">
      <alignment horizontal="center"/>
    </xf>
    <xf numFmtId="0" fontId="3" fillId="3" borderId="2" xfId="0" applyFont="1" applyFill="1" applyBorder="1" applyAlignment="1">
      <alignment horizontal="center" vertical="center" wrapText="1"/>
    </xf>
    <xf numFmtId="0" fontId="0" fillId="0" borderId="2" xfId="0" applyBorder="1"/>
    <xf numFmtId="0" fontId="1" fillId="0" borderId="2" xfId="0" applyFont="1" applyBorder="1" applyAlignment="1">
      <alignment horizontal="center" vertical="center"/>
    </xf>
    <xf numFmtId="0" fontId="0" fillId="0" borderId="2" xfId="0" applyBorder="1" applyAlignment="1">
      <alignment horizontal="center"/>
    </xf>
    <xf numFmtId="0" fontId="4" fillId="8" borderId="3" xfId="0" applyFont="1" applyFill="1" applyBorder="1" applyAlignment="1">
      <alignment vertical="center" wrapText="1"/>
    </xf>
    <xf numFmtId="0" fontId="2" fillId="3" borderId="3" xfId="0" applyFont="1" applyFill="1" applyBorder="1" applyAlignment="1">
      <alignment horizontal="center" vertical="center" wrapText="1"/>
    </xf>
    <xf numFmtId="0" fontId="1" fillId="0" borderId="3" xfId="0" applyFont="1" applyBorder="1" applyAlignment="1">
      <alignment horizontal="center" vertical="center"/>
    </xf>
    <xf numFmtId="0" fontId="0" fillId="0" borderId="3" xfId="0" applyBorder="1"/>
    <xf numFmtId="0" fontId="0" fillId="0" borderId="3" xfId="0" applyBorder="1" applyAlignment="1">
      <alignment horizontal="center"/>
    </xf>
    <xf numFmtId="0" fontId="4" fillId="3" borderId="1" xfId="0" applyFont="1" applyFill="1" applyBorder="1" applyAlignment="1">
      <alignment vertical="center" wrapText="1"/>
    </xf>
    <xf numFmtId="0" fontId="4" fillId="8" borderId="1" xfId="0" applyFont="1" applyFill="1" applyBorder="1" applyAlignment="1">
      <alignment horizontal="left" vertical="center" wrapText="1"/>
    </xf>
    <xf numFmtId="0" fontId="1" fillId="0" borderId="0" xfId="0" applyFont="1" applyAlignment="1">
      <alignment horizontal="center" wrapText="1"/>
    </xf>
    <xf numFmtId="0" fontId="1" fillId="0" borderId="2" xfId="0" applyFont="1" applyBorder="1" applyAlignment="1">
      <alignment horizontal="center" vertical="center" wrapText="1"/>
    </xf>
    <xf numFmtId="0" fontId="1" fillId="0" borderId="3" xfId="0" applyFont="1" applyBorder="1"/>
    <xf numFmtId="0" fontId="1" fillId="0" borderId="2" xfId="0" applyFont="1" applyBorder="1"/>
    <xf numFmtId="0" fontId="4" fillId="4" borderId="6" xfId="0" applyFont="1" applyFill="1" applyBorder="1" applyAlignment="1">
      <alignment vertical="center" wrapText="1"/>
    </xf>
    <xf numFmtId="0" fontId="1" fillId="3" borderId="3"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4" fillId="4" borderId="3" xfId="0" applyFont="1" applyFill="1" applyBorder="1" applyAlignment="1">
      <alignment vertical="center" wrapText="1"/>
    </xf>
    <xf numFmtId="16" fontId="1" fillId="0" borderId="1" xfId="0" applyNumberFormat="1" applyFont="1" applyBorder="1" applyAlignment="1">
      <alignment horizontal="center" vertical="center" wrapText="1"/>
    </xf>
    <xf numFmtId="0" fontId="1" fillId="0" borderId="1" xfId="0" applyFont="1" applyBorder="1" applyAlignment="1">
      <alignment horizontal="center" wrapText="1"/>
    </xf>
    <xf numFmtId="0" fontId="1" fillId="0" borderId="6" xfId="0" applyFont="1" applyBorder="1" applyAlignment="1">
      <alignment wrapText="1"/>
    </xf>
    <xf numFmtId="0" fontId="11" fillId="0" borderId="6" xfId="0" applyFont="1" applyBorder="1" applyAlignment="1">
      <alignment horizontal="left" vertical="center" wrapText="1" indent="15"/>
    </xf>
    <xf numFmtId="164" fontId="1" fillId="0" borderId="1" xfId="0" applyNumberFormat="1" applyFont="1" applyBorder="1" applyAlignment="1">
      <alignment horizontal="center" vertical="center"/>
    </xf>
    <xf numFmtId="0" fontId="1" fillId="3" borderId="1" xfId="0" applyFont="1" applyFill="1" applyBorder="1" applyAlignment="1">
      <alignment horizontal="center" vertical="center"/>
    </xf>
    <xf numFmtId="0" fontId="11" fillId="0" borderId="6" xfId="0" applyFont="1" applyBorder="1" applyAlignment="1">
      <alignment horizontal="left" vertical="center" wrapText="1"/>
    </xf>
    <xf numFmtId="2" fontId="1" fillId="3" borderId="1" xfId="0" applyNumberFormat="1" applyFont="1" applyFill="1" applyBorder="1" applyAlignment="1">
      <alignment horizontal="center" vertical="center"/>
    </xf>
    <xf numFmtId="1" fontId="1" fillId="3" borderId="1" xfId="0" applyNumberFormat="1" applyFont="1" applyFill="1" applyBorder="1" applyAlignment="1">
      <alignment horizontal="center" vertical="center"/>
    </xf>
    <xf numFmtId="164" fontId="1" fillId="3" borderId="1" xfId="0" applyNumberFormat="1" applyFont="1" applyFill="1" applyBorder="1" applyAlignment="1">
      <alignment horizontal="center" vertical="center"/>
    </xf>
    <xf numFmtId="16" fontId="3" fillId="0" borderId="1" xfId="0" applyNumberFormat="1" applyFont="1" applyBorder="1" applyAlignment="1">
      <alignment horizontal="center" vertical="center" wrapText="1"/>
    </xf>
    <xf numFmtId="0" fontId="13" fillId="0" borderId="6" xfId="1" applyFont="1" applyBorder="1" applyAlignment="1" applyProtection="1">
      <alignment wrapText="1"/>
    </xf>
    <xf numFmtId="164" fontId="3" fillId="0" borderId="1" xfId="0" applyNumberFormat="1" applyFont="1" applyBorder="1" applyAlignment="1">
      <alignment horizontal="center" vertical="center" wrapText="1"/>
    </xf>
    <xf numFmtId="164" fontId="3"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5" fontId="1" fillId="0" borderId="6" xfId="0" applyNumberFormat="1" applyFont="1" applyBorder="1" applyAlignment="1">
      <alignment horizontal="center"/>
    </xf>
    <xf numFmtId="4" fontId="3" fillId="0" borderId="1" xfId="0" applyNumberFormat="1" applyFont="1" applyBorder="1" applyAlignment="1">
      <alignment horizontal="center" vertical="center" wrapText="1"/>
    </xf>
    <xf numFmtId="166" fontId="1" fillId="3" borderId="1" xfId="0" applyNumberFormat="1" applyFont="1" applyFill="1" applyBorder="1" applyAlignment="1">
      <alignment horizontal="center" vertical="center"/>
    </xf>
    <xf numFmtId="0" fontId="0" fillId="0" borderId="0" xfId="0" applyAlignment="1">
      <alignment wrapText="1"/>
    </xf>
    <xf numFmtId="0" fontId="1" fillId="0" borderId="7" xfId="0" applyFont="1" applyBorder="1" applyAlignment="1">
      <alignment horizontal="center"/>
    </xf>
    <xf numFmtId="0" fontId="4" fillId="3" borderId="7" xfId="0" applyFont="1" applyFill="1" applyBorder="1" applyAlignment="1">
      <alignment horizontal="center" vertic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3" fillId="0" borderId="7" xfId="0" applyFont="1" applyBorder="1" applyAlignment="1">
      <alignment horizontal="center" wrapText="1"/>
    </xf>
    <xf numFmtId="2" fontId="1" fillId="0" borderId="1" xfId="0" applyNumberFormat="1" applyFont="1" applyBorder="1" applyAlignment="1">
      <alignment horizontal="center" vertical="center" wrapText="1"/>
    </xf>
    <xf numFmtId="0" fontId="1" fillId="6" borderId="1" xfId="0" applyFont="1" applyFill="1" applyBorder="1" applyAlignment="1">
      <alignment wrapText="1"/>
    </xf>
    <xf numFmtId="0" fontId="1" fillId="9"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1" fillId="9" borderId="1" xfId="0" applyFont="1" applyFill="1" applyBorder="1" applyAlignment="1">
      <alignment wrapText="1"/>
    </xf>
    <xf numFmtId="0" fontId="1" fillId="6" borderId="1" xfId="0" applyFont="1" applyFill="1" applyBorder="1"/>
    <xf numFmtId="0" fontId="1" fillId="3" borderId="1" xfId="0" applyFont="1" applyFill="1" applyBorder="1"/>
    <xf numFmtId="0" fontId="4" fillId="4" borderId="5" xfId="0" applyFont="1" applyFill="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9CDE5"/>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D9D9D9"/>
      <rgbColor rgb="FFFFFF99"/>
      <rgbColor rgb="FFC5D9F1"/>
      <rgbColor rgb="FFFF99CC"/>
      <rgbColor rgb="FFCC99FF"/>
      <rgbColor rgb="FFFFCC99"/>
      <rgbColor rgb="FF3366FF"/>
      <rgbColor rgb="FF33CCCC"/>
      <rgbColor rgb="FF99CC00"/>
      <rgbColor rgb="FFFFC000"/>
      <rgbColor rgb="FFFF9900"/>
      <rgbColor rgb="FFFF6600"/>
      <rgbColor rgb="FF666699"/>
      <rgbColor rgb="FF969696"/>
      <rgbColor rgb="FF002060"/>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mailto:ABG@120s" TargetMode="External"/><Relationship Id="rId13" Type="http://schemas.openxmlformats.org/officeDocument/2006/relationships/hyperlink" Target="mailto:CMP@120s" TargetMode="External"/><Relationship Id="rId3" Type="http://schemas.openxmlformats.org/officeDocument/2006/relationships/hyperlink" Target="http://acutecaretesting.org/en/articles/urea-and-the-clinical-value-of-measuring-blood-urea-concentration" TargetMode="External"/><Relationship Id="rId7" Type="http://schemas.openxmlformats.org/officeDocument/2006/relationships/hyperlink" Target="mailto:ABG@120s" TargetMode="External"/><Relationship Id="rId12" Type="http://schemas.openxmlformats.org/officeDocument/2006/relationships/hyperlink" Target="mailto:CMP@120s" TargetMode="External"/><Relationship Id="rId2" Type="http://schemas.openxmlformats.org/officeDocument/2006/relationships/hyperlink" Target="http://www.nhlbi.nih.gov/health/health-topics/topics/arr/diagnosis.html" TargetMode="External"/><Relationship Id="rId1" Type="http://schemas.openxmlformats.org/officeDocument/2006/relationships/hyperlink" Target="http://www.heart.org/HEARTORG/Conditions/HeartFailure/SymptomsDiagnosisofHeartFailure/Common-Tests-for-Heart-Failure_UCM_306334_Article.jsp" TargetMode="External"/><Relationship Id="rId6" Type="http://schemas.openxmlformats.org/officeDocument/2006/relationships/hyperlink" Target="mailto:ABG@120s" TargetMode="External"/><Relationship Id="rId11" Type="http://schemas.openxmlformats.org/officeDocument/2006/relationships/hyperlink" Target="mailto:CBC@120s" TargetMode="External"/><Relationship Id="rId5" Type="http://schemas.openxmlformats.org/officeDocument/2006/relationships/hyperlink" Target="mailto:ABG@120s" TargetMode="External"/><Relationship Id="rId10" Type="http://schemas.openxmlformats.org/officeDocument/2006/relationships/hyperlink" Target="mailto:CBC@120s" TargetMode="External"/><Relationship Id="rId4" Type="http://schemas.openxmlformats.org/officeDocument/2006/relationships/hyperlink" Target="https://en.wikipedia.org/wiki/Mean_corpuscular_hemoglobin" TargetMode="External"/><Relationship Id="rId9" Type="http://schemas.openxmlformats.org/officeDocument/2006/relationships/hyperlink" Target="mailto:ABG@120s"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mailto:Urinalysis@120s" TargetMode="External"/><Relationship Id="rId1" Type="http://schemas.openxmlformats.org/officeDocument/2006/relationships/hyperlink" Target="mailto:Urinalysis@120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7"/>
  <sheetViews>
    <sheetView zoomScaleNormal="100" workbookViewId="0">
      <selection activeCell="M34" sqref="M34"/>
    </sheetView>
  </sheetViews>
  <sheetFormatPr defaultColWidth="9.140625" defaultRowHeight="15"/>
  <cols>
    <col min="1" max="1" width="31.28515625" style="1" customWidth="1"/>
    <col min="2" max="2" width="10" style="1" customWidth="1"/>
    <col min="3" max="3" width="10" style="2" customWidth="1"/>
    <col min="4" max="4" width="16" style="1" customWidth="1"/>
    <col min="5" max="1024" width="9.140625" style="1"/>
  </cols>
  <sheetData>
    <row r="1" spans="1:4">
      <c r="A1" s="3" t="s">
        <v>0</v>
      </c>
      <c r="B1" s="3" t="s">
        <v>1</v>
      </c>
      <c r="C1" s="3" t="s">
        <v>2</v>
      </c>
      <c r="D1" s="3" t="s">
        <v>3</v>
      </c>
    </row>
    <row r="2" spans="1:4">
      <c r="A2" s="4" t="s">
        <v>4</v>
      </c>
      <c r="B2" s="5"/>
      <c r="C2" s="5" t="s">
        <v>5</v>
      </c>
      <c r="D2" s="5"/>
    </row>
    <row r="3" spans="1:4">
      <c r="A3" s="4" t="s">
        <v>6</v>
      </c>
      <c r="B3" s="5" t="s">
        <v>7</v>
      </c>
      <c r="C3" s="6">
        <v>163</v>
      </c>
      <c r="D3" s="5"/>
    </row>
    <row r="4" spans="1:4">
      <c r="A4" s="4" t="s">
        <v>8</v>
      </c>
      <c r="B4" s="5" t="s">
        <v>9</v>
      </c>
      <c r="C4" s="5">
        <v>77</v>
      </c>
      <c r="D4" s="5"/>
    </row>
    <row r="5" spans="1:4">
      <c r="A5" s="4" t="s">
        <v>10</v>
      </c>
      <c r="B5" s="5" t="s">
        <v>11</v>
      </c>
      <c r="C5" s="7">
        <f>0.016667*SQRT(C4)*SQRT(C3)</f>
        <v>1.8672247711079135</v>
      </c>
      <c r="D5" s="5" t="s">
        <v>12</v>
      </c>
    </row>
    <row r="6" spans="1:4">
      <c r="A6" s="4" t="s">
        <v>13</v>
      </c>
      <c r="B6" s="5" t="s">
        <v>14</v>
      </c>
      <c r="C6" s="6">
        <f>IF(C2="Male",5600,4900)</f>
        <v>5600</v>
      </c>
      <c r="D6" s="8" t="s">
        <v>15</v>
      </c>
    </row>
    <row r="7" spans="1:4">
      <c r="A7" s="4" t="s">
        <v>16</v>
      </c>
      <c r="B7" s="5" t="s">
        <v>17</v>
      </c>
      <c r="C7" s="6">
        <f>65.6*POWER(C4,1.02)</f>
        <v>5509.6546665792184</v>
      </c>
      <c r="D7" s="8" t="s">
        <v>15</v>
      </c>
    </row>
    <row r="8" spans="1:4">
      <c r="A8" s="4" t="s">
        <v>18</v>
      </c>
      <c r="B8" s="5" t="s">
        <v>19</v>
      </c>
      <c r="C8" s="7">
        <f>0.001*C6/C5</f>
        <v>2.9991033145287878</v>
      </c>
      <c r="D8" s="8" t="s">
        <v>15</v>
      </c>
    </row>
    <row r="9" spans="1:4">
      <c r="A9" s="4" t="s">
        <v>20</v>
      </c>
      <c r="B9" s="5"/>
      <c r="C9" s="7">
        <v>0.6</v>
      </c>
      <c r="D9" s="8"/>
    </row>
    <row r="10" spans="1:4">
      <c r="A10" s="4" t="s">
        <v>21</v>
      </c>
      <c r="B10" s="5"/>
      <c r="C10" s="7">
        <f>1-C9</f>
        <v>0.4</v>
      </c>
      <c r="D10" s="8"/>
    </row>
    <row r="11" spans="1:4">
      <c r="A11" s="4" t="s">
        <v>22</v>
      </c>
      <c r="B11" s="5" t="s">
        <v>23</v>
      </c>
      <c r="C11" s="5">
        <f>IF(C2="Male",15,14)</f>
        <v>15</v>
      </c>
      <c r="D11" s="5"/>
    </row>
    <row r="12" spans="1:4">
      <c r="A12" s="4" t="s">
        <v>24</v>
      </c>
      <c r="B12" s="5"/>
      <c r="C12" s="5">
        <v>0.21</v>
      </c>
      <c r="D12" s="5"/>
    </row>
    <row r="13" spans="1:4">
      <c r="A13" s="4" t="s">
        <v>25</v>
      </c>
      <c r="B13" s="5" t="s">
        <v>9</v>
      </c>
      <c r="C13" s="5">
        <f>C4*(1-C12)</f>
        <v>60.830000000000005</v>
      </c>
      <c r="D13" s="5"/>
    </row>
    <row r="14" spans="1:4">
      <c r="A14" s="4" t="s">
        <v>26</v>
      </c>
      <c r="B14" s="5" t="s">
        <v>9</v>
      </c>
      <c r="C14" s="5">
        <f>IF(C2="Male",77,60)</f>
        <v>77</v>
      </c>
      <c r="D14" s="2"/>
    </row>
    <row r="15" spans="1:4">
      <c r="A15" s="4" t="s">
        <v>27</v>
      </c>
      <c r="B15" s="5" t="s">
        <v>11</v>
      </c>
      <c r="C15" s="5">
        <f>IF(C2="Male",1.96,1.65)</f>
        <v>1.96</v>
      </c>
      <c r="D15" s="2"/>
    </row>
    <row r="16" spans="1:4">
      <c r="A16" s="4" t="s">
        <v>28</v>
      </c>
      <c r="B16" s="5"/>
      <c r="C16" s="5">
        <f>IF(C2="Male",0.21,0.28)</f>
        <v>0.21</v>
      </c>
      <c r="D16" s="2"/>
    </row>
    <row r="17" spans="1:4">
      <c r="A17" s="4" t="s">
        <v>29</v>
      </c>
      <c r="B17" s="5" t="s">
        <v>9</v>
      </c>
      <c r="C17" s="5">
        <f>C14*(1-C16)</f>
        <v>60.830000000000005</v>
      </c>
      <c r="D17" s="2"/>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H81"/>
  <sheetViews>
    <sheetView topLeftCell="A35" zoomScaleNormal="100" workbookViewId="0">
      <pane xSplit="1" topLeftCell="B1" activePane="topRight" state="frozen"/>
      <selection pane="topRight" activeCell="F53" sqref="F53"/>
    </sheetView>
  </sheetViews>
  <sheetFormatPr defaultColWidth="9.140625" defaultRowHeight="15"/>
  <cols>
    <col min="1" max="1" width="40.140625" style="1" customWidth="1"/>
    <col min="2" max="2" width="8" style="2" customWidth="1"/>
    <col min="3" max="5" width="16.85546875" style="2" customWidth="1"/>
    <col min="6" max="6" width="15.85546875" style="2" customWidth="1"/>
    <col min="7" max="7" width="33.85546875" style="2" customWidth="1"/>
    <col min="8" max="8" width="18.85546875" style="2" customWidth="1"/>
    <col min="9" max="9" width="11.42578125" style="2" customWidth="1"/>
    <col min="10" max="10" width="48" style="2" customWidth="1"/>
    <col min="11" max="11" width="49.28515625" style="1" customWidth="1"/>
    <col min="12" max="12" width="36" style="1" customWidth="1"/>
    <col min="13" max="13" width="28.85546875" style="2" customWidth="1"/>
    <col min="14" max="14" width="30.42578125" style="2" customWidth="1"/>
    <col min="15" max="15" width="16.28515625" style="1" customWidth="1"/>
    <col min="16" max="1022" width="9.140625" style="1"/>
  </cols>
  <sheetData>
    <row r="1" spans="1:16" ht="26.25" customHeight="1">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10" t="s">
        <v>44</v>
      </c>
      <c r="B2" s="8" t="s">
        <v>45</v>
      </c>
      <c r="C2" s="8" t="s">
        <v>46</v>
      </c>
      <c r="D2" s="8"/>
      <c r="E2" s="8"/>
      <c r="F2" s="8" t="s">
        <v>47</v>
      </c>
      <c r="G2" s="11" t="s">
        <v>48</v>
      </c>
      <c r="H2" s="8"/>
      <c r="I2" s="8" t="s">
        <v>49</v>
      </c>
      <c r="J2" s="8"/>
      <c r="K2" s="12"/>
      <c r="L2" s="13"/>
      <c r="M2" s="5" t="s">
        <v>50</v>
      </c>
      <c r="N2" s="5" t="s">
        <v>51</v>
      </c>
      <c r="O2" s="14" t="s">
        <v>52</v>
      </c>
      <c r="P2" s="14">
        <v>2</v>
      </c>
    </row>
    <row r="3" spans="1:16">
      <c r="A3" s="10" t="s">
        <v>53</v>
      </c>
      <c r="B3" s="8" t="s">
        <v>54</v>
      </c>
      <c r="C3" s="8" t="s">
        <v>46</v>
      </c>
      <c r="D3" s="8"/>
      <c r="E3" s="8"/>
      <c r="F3" s="8">
        <v>1050</v>
      </c>
      <c r="G3" s="15" t="s">
        <v>55</v>
      </c>
      <c r="H3" s="15" t="s">
        <v>56</v>
      </c>
      <c r="I3" s="8" t="s">
        <v>49</v>
      </c>
      <c r="J3" s="8"/>
      <c r="K3" s="12"/>
      <c r="L3" s="13"/>
      <c r="M3" s="5" t="s">
        <v>50</v>
      </c>
      <c r="N3" s="5" t="s">
        <v>57</v>
      </c>
      <c r="O3" s="14" t="s">
        <v>52</v>
      </c>
      <c r="P3" s="14"/>
    </row>
    <row r="4" spans="1:16" ht="24">
      <c r="A4" s="10" t="s">
        <v>58</v>
      </c>
      <c r="B4" s="8"/>
      <c r="C4" s="8" t="s">
        <v>46</v>
      </c>
      <c r="D4" s="8"/>
      <c r="E4" s="8"/>
      <c r="F4" s="8" t="s">
        <v>59</v>
      </c>
      <c r="G4" s="8" t="s">
        <v>60</v>
      </c>
      <c r="H4" s="8" t="s">
        <v>61</v>
      </c>
      <c r="I4" s="8" t="s">
        <v>49</v>
      </c>
      <c r="J4" s="8"/>
      <c r="K4" s="16"/>
      <c r="L4" s="4"/>
      <c r="M4" s="5" t="s">
        <v>50</v>
      </c>
      <c r="N4" s="5" t="s">
        <v>51</v>
      </c>
      <c r="O4" s="14" t="s">
        <v>52</v>
      </c>
      <c r="P4" s="14">
        <v>2</v>
      </c>
    </row>
    <row r="5" spans="1:16">
      <c r="A5" s="10" t="s">
        <v>62</v>
      </c>
      <c r="B5" s="8" t="s">
        <v>63</v>
      </c>
      <c r="C5" s="8" t="s">
        <v>46</v>
      </c>
      <c r="D5" s="8"/>
      <c r="E5" s="8"/>
      <c r="F5" s="8">
        <v>3617</v>
      </c>
      <c r="G5" s="8" t="s">
        <v>64</v>
      </c>
      <c r="H5" s="8"/>
      <c r="I5" s="8" t="s">
        <v>49</v>
      </c>
      <c r="J5" s="8"/>
      <c r="K5" s="12"/>
      <c r="L5" s="13"/>
      <c r="M5" s="5" t="s">
        <v>50</v>
      </c>
      <c r="N5" s="5" t="s">
        <v>57</v>
      </c>
      <c r="O5" s="14" t="s">
        <v>52</v>
      </c>
      <c r="P5" s="14"/>
    </row>
    <row r="6" spans="1:16" ht="24">
      <c r="A6" s="10" t="s">
        <v>65</v>
      </c>
      <c r="B6" s="17" t="s">
        <v>66</v>
      </c>
      <c r="C6" s="8" t="s">
        <v>46</v>
      </c>
      <c r="D6" s="8"/>
      <c r="E6" s="8"/>
      <c r="F6" s="8" t="s">
        <v>67</v>
      </c>
      <c r="G6" s="18" t="s">
        <v>68</v>
      </c>
      <c r="H6" s="8" t="s">
        <v>69</v>
      </c>
      <c r="I6" s="8" t="s">
        <v>49</v>
      </c>
      <c r="J6" s="8"/>
      <c r="K6" s="19" t="s">
        <v>70</v>
      </c>
      <c r="L6" s="4"/>
      <c r="M6" s="5" t="s">
        <v>50</v>
      </c>
      <c r="N6" s="5" t="s">
        <v>71</v>
      </c>
      <c r="O6" s="14" t="s">
        <v>52</v>
      </c>
      <c r="P6" s="14">
        <v>1</v>
      </c>
    </row>
    <row r="7" spans="1:16">
      <c r="A7" s="10" t="s">
        <v>72</v>
      </c>
      <c r="B7" s="8"/>
      <c r="C7" s="8" t="s">
        <v>46</v>
      </c>
      <c r="D7" s="8"/>
      <c r="E7" s="8"/>
      <c r="F7" s="8">
        <v>0.13</v>
      </c>
      <c r="G7" s="8" t="s">
        <v>73</v>
      </c>
      <c r="H7" s="8"/>
      <c r="I7" s="8" t="s">
        <v>49</v>
      </c>
      <c r="J7" s="8"/>
      <c r="K7" s="12"/>
      <c r="L7" s="13"/>
      <c r="M7" s="5" t="s">
        <v>50</v>
      </c>
      <c r="N7" s="5" t="s">
        <v>51</v>
      </c>
      <c r="O7" s="14" t="s">
        <v>52</v>
      </c>
      <c r="P7" s="14">
        <v>2</v>
      </c>
    </row>
    <row r="8" spans="1:16">
      <c r="A8" s="10" t="s">
        <v>74</v>
      </c>
      <c r="B8" s="8"/>
      <c r="C8" s="8" t="s">
        <v>46</v>
      </c>
      <c r="D8" s="8"/>
      <c r="E8" s="8"/>
      <c r="F8" s="8">
        <v>0</v>
      </c>
      <c r="G8" s="8"/>
      <c r="H8" s="8"/>
      <c r="I8" s="8" t="s">
        <v>49</v>
      </c>
      <c r="J8" s="8" t="s">
        <v>75</v>
      </c>
      <c r="K8" s="12"/>
      <c r="L8" s="13"/>
      <c r="M8" s="5" t="s">
        <v>50</v>
      </c>
      <c r="N8" s="5"/>
      <c r="O8" s="14" t="s">
        <v>52</v>
      </c>
      <c r="P8" s="14">
        <v>2</v>
      </c>
    </row>
    <row r="9" spans="1:16" ht="24">
      <c r="A9" s="10" t="s">
        <v>76</v>
      </c>
      <c r="B9" s="8"/>
      <c r="C9" s="8" t="s">
        <v>46</v>
      </c>
      <c r="D9" s="8"/>
      <c r="E9" s="8"/>
      <c r="F9" s="8" t="s">
        <v>77</v>
      </c>
      <c r="G9" s="8" t="s">
        <v>78</v>
      </c>
      <c r="H9" s="8" t="s">
        <v>79</v>
      </c>
      <c r="I9" s="8" t="s">
        <v>49</v>
      </c>
      <c r="J9" s="8"/>
      <c r="K9" s="20" t="s">
        <v>80</v>
      </c>
      <c r="L9" s="21"/>
      <c r="M9" s="5" t="s">
        <v>50</v>
      </c>
      <c r="N9" s="5" t="s">
        <v>51</v>
      </c>
      <c r="O9" s="14" t="s">
        <v>52</v>
      </c>
      <c r="P9" s="14">
        <v>3</v>
      </c>
    </row>
    <row r="10" spans="1:16" s="1" customFormat="1" ht="12">
      <c r="A10" s="10" t="s">
        <v>81</v>
      </c>
      <c r="B10" s="8" t="s">
        <v>82</v>
      </c>
      <c r="C10" s="8" t="s">
        <v>46</v>
      </c>
      <c r="D10" s="8"/>
      <c r="E10" s="8"/>
      <c r="F10" s="22">
        <f>Patient!C7*Patient!C11/100</f>
        <v>826.44819998688286</v>
      </c>
      <c r="G10" s="8" t="s">
        <v>83</v>
      </c>
      <c r="H10" s="12"/>
      <c r="I10" s="8" t="s">
        <v>49</v>
      </c>
      <c r="K10" s="8" t="s">
        <v>84</v>
      </c>
      <c r="L10" s="13"/>
      <c r="M10" s="5" t="s">
        <v>50</v>
      </c>
      <c r="N10" s="5" t="s">
        <v>71</v>
      </c>
      <c r="O10" s="14" t="s">
        <v>52</v>
      </c>
      <c r="P10" s="14">
        <v>1</v>
      </c>
    </row>
    <row r="11" spans="1:16" ht="24">
      <c r="A11" s="10" t="s">
        <v>85</v>
      </c>
      <c r="B11" s="8"/>
      <c r="C11" s="8" t="s">
        <v>46</v>
      </c>
      <c r="D11" s="8"/>
      <c r="E11" s="8"/>
      <c r="F11" s="8" t="s">
        <v>86</v>
      </c>
      <c r="G11" s="8" t="s">
        <v>78</v>
      </c>
      <c r="H11" s="8" t="s">
        <v>87</v>
      </c>
      <c r="I11" s="8" t="s">
        <v>49</v>
      </c>
      <c r="J11" s="8"/>
      <c r="K11" s="16"/>
      <c r="L11" s="4"/>
      <c r="M11" s="5" t="s">
        <v>50</v>
      </c>
      <c r="N11" s="5" t="s">
        <v>51</v>
      </c>
      <c r="O11" s="14" t="s">
        <v>52</v>
      </c>
      <c r="P11" s="14">
        <v>2</v>
      </c>
    </row>
    <row r="12" spans="1:16" ht="27.75" customHeight="1">
      <c r="A12" s="10" t="s">
        <v>88</v>
      </c>
      <c r="B12" s="8" t="s">
        <v>89</v>
      </c>
      <c r="C12" s="8" t="s">
        <v>46</v>
      </c>
      <c r="D12" s="8"/>
      <c r="E12" s="8"/>
      <c r="F12" s="20" t="s">
        <v>90</v>
      </c>
      <c r="G12" s="8" t="s">
        <v>91</v>
      </c>
      <c r="H12" s="8"/>
      <c r="I12" s="8" t="s">
        <v>49</v>
      </c>
      <c r="J12" s="8"/>
      <c r="K12" s="8"/>
      <c r="L12" s="21"/>
      <c r="M12" s="5" t="s">
        <v>50</v>
      </c>
      <c r="N12" s="5" t="s">
        <v>71</v>
      </c>
      <c r="O12" s="14" t="s">
        <v>52</v>
      </c>
      <c r="P12" s="14">
        <v>1</v>
      </c>
    </row>
    <row r="13" spans="1:16" ht="27.75" customHeight="1">
      <c r="A13" s="10" t="s">
        <v>92</v>
      </c>
      <c r="B13" s="8" t="s">
        <v>17</v>
      </c>
      <c r="C13" s="8" t="s">
        <v>46</v>
      </c>
      <c r="D13" s="8"/>
      <c r="E13" s="8"/>
      <c r="F13" s="23">
        <f>Patient!C7*(1-Patient!C11/34)</f>
        <v>3078.9246666177987</v>
      </c>
      <c r="G13" s="8" t="s">
        <v>15</v>
      </c>
      <c r="H13" s="8" t="s">
        <v>93</v>
      </c>
      <c r="I13" s="8" t="s">
        <v>49</v>
      </c>
      <c r="J13" s="8" t="s">
        <v>94</v>
      </c>
      <c r="K13" s="8" t="s">
        <v>95</v>
      </c>
      <c r="L13" s="21" t="s">
        <v>96</v>
      </c>
      <c r="M13" s="5" t="s">
        <v>50</v>
      </c>
      <c r="N13" s="5" t="s">
        <v>71</v>
      </c>
      <c r="O13" s="14" t="s">
        <v>52</v>
      </c>
      <c r="P13" s="14"/>
    </row>
    <row r="14" spans="1:16" ht="24">
      <c r="A14" s="10" t="s">
        <v>1173</v>
      </c>
      <c r="B14" s="26" t="s">
        <v>581</v>
      </c>
      <c r="C14" s="8" t="s">
        <v>46</v>
      </c>
      <c r="D14" s="8"/>
      <c r="E14" s="8"/>
      <c r="F14" s="26" t="s">
        <v>1174</v>
      </c>
      <c r="G14" s="8" t="s">
        <v>15</v>
      </c>
      <c r="H14" s="26"/>
      <c r="I14" s="8" t="s">
        <v>49</v>
      </c>
      <c r="J14" s="26"/>
      <c r="K14" s="8"/>
      <c r="L14" s="5"/>
      <c r="M14" s="5" t="s">
        <v>50</v>
      </c>
      <c r="N14" s="5" t="s">
        <v>57</v>
      </c>
      <c r="O14" s="14" t="s">
        <v>52</v>
      </c>
      <c r="P14" s="14">
        <v>1</v>
      </c>
    </row>
    <row r="15" spans="1:16">
      <c r="A15" s="48" t="s">
        <v>1175</v>
      </c>
      <c r="B15" s="26"/>
      <c r="C15" s="8"/>
      <c r="D15" s="8"/>
      <c r="E15" s="8"/>
      <c r="F15" s="26"/>
      <c r="G15" s="26"/>
      <c r="H15" s="26"/>
      <c r="I15" s="8"/>
      <c r="J15" s="26"/>
      <c r="K15" s="8"/>
      <c r="L15" s="5"/>
      <c r="M15" s="5"/>
      <c r="N15" s="5"/>
      <c r="O15" s="14"/>
      <c r="P15" s="14"/>
    </row>
    <row r="16" spans="1:16" ht="24">
      <c r="A16" s="10" t="s">
        <v>97</v>
      </c>
      <c r="B16" s="8"/>
      <c r="C16" s="8" t="s">
        <v>46</v>
      </c>
      <c r="D16" s="8"/>
      <c r="E16" s="8"/>
      <c r="F16" s="8" t="s">
        <v>86</v>
      </c>
      <c r="G16" s="8" t="s">
        <v>78</v>
      </c>
      <c r="H16" s="8" t="s">
        <v>87</v>
      </c>
      <c r="I16" s="8" t="s">
        <v>49</v>
      </c>
      <c r="J16" s="8"/>
      <c r="K16" s="16"/>
      <c r="L16" s="4"/>
      <c r="M16" s="5" t="s">
        <v>50</v>
      </c>
      <c r="N16" s="5" t="s">
        <v>51</v>
      </c>
      <c r="O16" s="14" t="s">
        <v>52</v>
      </c>
      <c r="P16" s="14">
        <v>2</v>
      </c>
    </row>
    <row r="17" spans="1:16" ht="24">
      <c r="A17" s="10" t="s">
        <v>98</v>
      </c>
      <c r="B17" s="8" t="s">
        <v>99</v>
      </c>
      <c r="C17" s="8" t="s">
        <v>46</v>
      </c>
      <c r="D17" s="24"/>
      <c r="E17" s="24"/>
      <c r="F17" s="22">
        <f>(F10/0.000000000029)/(Patient!C7*1000)</f>
        <v>5172413.793103449</v>
      </c>
      <c r="G17" s="8" t="s">
        <v>15</v>
      </c>
      <c r="H17" s="8" t="s">
        <v>100</v>
      </c>
      <c r="I17" s="8" t="s">
        <v>49</v>
      </c>
      <c r="J17" s="8" t="s">
        <v>94</v>
      </c>
      <c r="K17" s="25"/>
      <c r="L17" s="21"/>
      <c r="M17" s="5" t="s">
        <v>50</v>
      </c>
      <c r="N17" s="5" t="s">
        <v>101</v>
      </c>
      <c r="O17" s="14" t="s">
        <v>52</v>
      </c>
      <c r="P17" s="14"/>
    </row>
    <row r="18" spans="1:16">
      <c r="A18" s="10" t="s">
        <v>102</v>
      </c>
      <c r="B18" s="12"/>
      <c r="C18" s="8" t="s">
        <v>46</v>
      </c>
      <c r="D18" s="8"/>
      <c r="E18" s="8"/>
      <c r="F18" s="8" t="s">
        <v>103</v>
      </c>
      <c r="G18" s="8" t="s">
        <v>104</v>
      </c>
      <c r="H18" s="8" t="s">
        <v>105</v>
      </c>
      <c r="I18" s="8" t="s">
        <v>49</v>
      </c>
      <c r="J18" s="8"/>
      <c r="K18" s="12"/>
      <c r="L18" s="13"/>
      <c r="M18" s="5" t="s">
        <v>50</v>
      </c>
      <c r="N18" s="5" t="s">
        <v>51</v>
      </c>
      <c r="O18" s="14" t="s">
        <v>52</v>
      </c>
      <c r="P18" s="14">
        <v>3</v>
      </c>
    </row>
    <row r="19" spans="1:16">
      <c r="A19" s="10" t="s">
        <v>106</v>
      </c>
      <c r="B19" s="8" t="s">
        <v>89</v>
      </c>
      <c r="C19" s="8" t="s">
        <v>46</v>
      </c>
      <c r="D19" s="8"/>
      <c r="E19" s="8"/>
      <c r="F19" s="20" t="s">
        <v>107</v>
      </c>
      <c r="G19" s="8" t="s">
        <v>108</v>
      </c>
      <c r="H19" s="8"/>
      <c r="I19" s="8" t="s">
        <v>49</v>
      </c>
      <c r="J19" s="8"/>
      <c r="K19" s="12"/>
      <c r="L19" s="13"/>
      <c r="M19" s="5" t="s">
        <v>50</v>
      </c>
      <c r="N19" s="5" t="s">
        <v>71</v>
      </c>
      <c r="O19" s="14" t="s">
        <v>52</v>
      </c>
      <c r="P19" s="14">
        <v>1</v>
      </c>
    </row>
    <row r="20" spans="1:16">
      <c r="A20" s="10" t="s">
        <v>109</v>
      </c>
      <c r="B20" s="17" t="s">
        <v>110</v>
      </c>
      <c r="C20" s="17" t="s">
        <v>46</v>
      </c>
      <c r="D20" s="17"/>
      <c r="E20" s="17"/>
      <c r="F20" s="26" t="s">
        <v>111</v>
      </c>
      <c r="G20" s="26" t="s">
        <v>112</v>
      </c>
      <c r="H20" s="26" t="s">
        <v>113</v>
      </c>
      <c r="I20" s="8" t="s">
        <v>49</v>
      </c>
      <c r="J20" s="26"/>
      <c r="K20" s="4"/>
      <c r="L20" s="4"/>
      <c r="M20" s="5" t="s">
        <v>50</v>
      </c>
      <c r="N20" s="5" t="s">
        <v>71</v>
      </c>
      <c r="O20" s="14" t="s">
        <v>52</v>
      </c>
      <c r="P20" s="14"/>
    </row>
    <row r="21" spans="1:16">
      <c r="A21" s="10" t="s">
        <v>114</v>
      </c>
      <c r="B21" s="12"/>
      <c r="C21" s="8" t="s">
        <v>46</v>
      </c>
      <c r="D21" s="8"/>
      <c r="E21" s="8"/>
      <c r="F21" s="8">
        <v>2.3E-3</v>
      </c>
      <c r="G21" s="8" t="s">
        <v>115</v>
      </c>
      <c r="H21" s="12"/>
      <c r="I21" s="8" t="s">
        <v>49</v>
      </c>
      <c r="J21" s="12"/>
      <c r="K21" s="8"/>
      <c r="L21" s="13"/>
      <c r="M21" s="5" t="s">
        <v>50</v>
      </c>
      <c r="N21" s="5" t="s">
        <v>116</v>
      </c>
      <c r="O21" s="14" t="s">
        <v>52</v>
      </c>
      <c r="P21" s="14">
        <v>5</v>
      </c>
    </row>
    <row r="22" spans="1:16">
      <c r="A22" s="10" t="s">
        <v>117</v>
      </c>
      <c r="B22" s="12"/>
      <c r="C22" s="8" t="s">
        <v>46</v>
      </c>
      <c r="D22" s="8"/>
      <c r="E22" s="8"/>
      <c r="F22" s="8">
        <v>1.2999999999999999E-3</v>
      </c>
      <c r="G22" s="8" t="s">
        <v>115</v>
      </c>
      <c r="H22" s="12"/>
      <c r="I22" s="8" t="s">
        <v>49</v>
      </c>
      <c r="J22" s="12"/>
      <c r="K22" s="8"/>
      <c r="L22" s="13"/>
      <c r="M22" s="5" t="s">
        <v>50</v>
      </c>
      <c r="N22" s="5" t="s">
        <v>116</v>
      </c>
      <c r="O22" s="14" t="s">
        <v>52</v>
      </c>
      <c r="P22" s="14">
        <v>5</v>
      </c>
    </row>
    <row r="23" spans="1:16">
      <c r="A23" s="10" t="s">
        <v>118</v>
      </c>
      <c r="B23" s="20" t="s">
        <v>99</v>
      </c>
      <c r="C23" s="8" t="s">
        <v>46</v>
      </c>
      <c r="D23" s="8"/>
      <c r="E23" s="8"/>
      <c r="F23" s="27">
        <v>7000</v>
      </c>
      <c r="G23" s="17" t="s">
        <v>119</v>
      </c>
      <c r="H23" s="17" t="s">
        <v>120</v>
      </c>
      <c r="I23" s="8" t="s">
        <v>49</v>
      </c>
      <c r="J23" s="17"/>
      <c r="K23" s="16" t="s">
        <v>121</v>
      </c>
      <c r="L23" s="4"/>
      <c r="M23" s="5" t="s">
        <v>50</v>
      </c>
      <c r="N23" s="5" t="s">
        <v>122</v>
      </c>
      <c r="O23" s="14" t="s">
        <v>52</v>
      </c>
      <c r="P23" s="14"/>
    </row>
    <row r="24" spans="1:16" ht="24">
      <c r="A24" s="28" t="s">
        <v>123</v>
      </c>
      <c r="B24" s="3" t="s">
        <v>1</v>
      </c>
      <c r="C24" s="9" t="s">
        <v>31</v>
      </c>
      <c r="D24" s="9" t="s">
        <v>32</v>
      </c>
      <c r="E24" s="9" t="s">
        <v>33</v>
      </c>
      <c r="F24" s="9" t="s">
        <v>124</v>
      </c>
      <c r="G24" s="29" t="s">
        <v>125</v>
      </c>
      <c r="H24" s="29" t="s">
        <v>126</v>
      </c>
      <c r="I24" s="29" t="s">
        <v>36</v>
      </c>
      <c r="J24" s="3" t="s">
        <v>37</v>
      </c>
      <c r="K24" s="3" t="s">
        <v>38</v>
      </c>
      <c r="L24" s="29" t="s">
        <v>39</v>
      </c>
      <c r="M24" s="9" t="s">
        <v>40</v>
      </c>
      <c r="N24" s="9" t="s">
        <v>41</v>
      </c>
      <c r="O24" s="9" t="s">
        <v>42</v>
      </c>
      <c r="P24" s="9" t="s">
        <v>43</v>
      </c>
    </row>
    <row r="25" spans="1:16" ht="56.25">
      <c r="A25" s="30" t="s">
        <v>127</v>
      </c>
      <c r="B25" s="18" t="s">
        <v>128</v>
      </c>
      <c r="C25" s="8" t="s">
        <v>46</v>
      </c>
      <c r="D25" s="8"/>
      <c r="E25" s="8"/>
      <c r="F25" s="18" t="s">
        <v>129</v>
      </c>
      <c r="G25" s="18" t="s">
        <v>130</v>
      </c>
      <c r="H25" s="18"/>
      <c r="I25" s="18" t="s">
        <v>49</v>
      </c>
      <c r="J25" s="18"/>
      <c r="K25" s="31" t="s">
        <v>131</v>
      </c>
      <c r="L25" s="4"/>
      <c r="M25" s="5" t="s">
        <v>50</v>
      </c>
      <c r="N25" s="5" t="s">
        <v>71</v>
      </c>
      <c r="O25" s="14" t="s">
        <v>132</v>
      </c>
      <c r="P25" s="14">
        <v>3</v>
      </c>
    </row>
    <row r="26" spans="1:16" ht="22.5">
      <c r="A26" s="30" t="s">
        <v>133</v>
      </c>
      <c r="B26" s="18" t="s">
        <v>110</v>
      </c>
      <c r="C26" s="8" t="s">
        <v>46</v>
      </c>
      <c r="D26" s="8"/>
      <c r="E26" s="8"/>
      <c r="F26" s="18" t="s">
        <v>134</v>
      </c>
      <c r="G26" s="18" t="s">
        <v>112</v>
      </c>
      <c r="H26" s="18" t="s">
        <v>113</v>
      </c>
      <c r="I26" s="18" t="s">
        <v>49</v>
      </c>
      <c r="J26" s="18"/>
      <c r="K26" s="32" t="s">
        <v>135</v>
      </c>
      <c r="L26" s="4"/>
      <c r="M26" s="5" t="s">
        <v>50</v>
      </c>
      <c r="N26" s="5" t="s">
        <v>71</v>
      </c>
      <c r="O26" s="14" t="s">
        <v>132</v>
      </c>
      <c r="P26" s="14">
        <v>1</v>
      </c>
    </row>
    <row r="27" spans="1:16">
      <c r="A27" s="10" t="s">
        <v>136</v>
      </c>
      <c r="B27" s="18" t="s">
        <v>110</v>
      </c>
      <c r="C27" s="8" t="s">
        <v>46</v>
      </c>
      <c r="D27" s="8"/>
      <c r="E27" s="8"/>
      <c r="F27" s="8" t="s">
        <v>137</v>
      </c>
      <c r="G27" s="18" t="s">
        <v>112</v>
      </c>
      <c r="H27" s="8" t="s">
        <v>138</v>
      </c>
      <c r="I27" s="18" t="s">
        <v>49</v>
      </c>
      <c r="J27" s="8"/>
      <c r="K27" s="8" t="s">
        <v>139</v>
      </c>
      <c r="L27" s="4"/>
      <c r="M27" s="5" t="s">
        <v>50</v>
      </c>
      <c r="N27" s="5" t="s">
        <v>140</v>
      </c>
      <c r="O27" s="14" t="s">
        <v>132</v>
      </c>
      <c r="P27" s="14">
        <v>3</v>
      </c>
    </row>
    <row r="28" spans="1:16">
      <c r="A28" s="10" t="s">
        <v>141</v>
      </c>
      <c r="B28" s="18" t="s">
        <v>128</v>
      </c>
      <c r="C28" s="8" t="s">
        <v>46</v>
      </c>
      <c r="D28" s="8"/>
      <c r="E28" s="8"/>
      <c r="F28" s="17" t="s">
        <v>142</v>
      </c>
      <c r="G28" s="18" t="s">
        <v>143</v>
      </c>
      <c r="H28" s="17" t="s">
        <v>138</v>
      </c>
      <c r="I28" s="18" t="s">
        <v>49</v>
      </c>
      <c r="J28" s="17"/>
      <c r="K28" s="8" t="s">
        <v>144</v>
      </c>
      <c r="L28" s="4"/>
      <c r="M28" s="5" t="s">
        <v>50</v>
      </c>
      <c r="N28" s="5" t="s">
        <v>71</v>
      </c>
      <c r="O28" s="14" t="s">
        <v>132</v>
      </c>
      <c r="P28" s="14">
        <v>2</v>
      </c>
    </row>
    <row r="29" spans="1:16" ht="36">
      <c r="A29" s="10" t="s">
        <v>145</v>
      </c>
      <c r="B29" s="18" t="s">
        <v>146</v>
      </c>
      <c r="C29" s="8" t="s">
        <v>46</v>
      </c>
      <c r="D29" s="8"/>
      <c r="E29" s="8"/>
      <c r="F29" s="17" t="s">
        <v>147</v>
      </c>
      <c r="G29" s="18" t="s">
        <v>148</v>
      </c>
      <c r="H29" s="17" t="s">
        <v>149</v>
      </c>
      <c r="I29" s="18" t="s">
        <v>49</v>
      </c>
      <c r="J29" s="17"/>
      <c r="K29" s="8" t="s">
        <v>150</v>
      </c>
      <c r="L29" s="4"/>
      <c r="M29" s="5" t="s">
        <v>50</v>
      </c>
      <c r="N29" s="5" t="s">
        <v>71</v>
      </c>
      <c r="O29" s="14" t="s">
        <v>132</v>
      </c>
      <c r="P29" s="14">
        <v>4</v>
      </c>
    </row>
    <row r="30" spans="1:16" ht="24">
      <c r="A30" s="10" t="s">
        <v>151</v>
      </c>
      <c r="B30" s="17" t="s">
        <v>128</v>
      </c>
      <c r="C30" s="8" t="s">
        <v>46</v>
      </c>
      <c r="D30" s="8"/>
      <c r="E30" s="8"/>
      <c r="F30" s="20" t="s">
        <v>152</v>
      </c>
      <c r="G30" s="17" t="s">
        <v>112</v>
      </c>
      <c r="H30" s="17" t="s">
        <v>153</v>
      </c>
      <c r="I30" s="18" t="s">
        <v>49</v>
      </c>
      <c r="J30" s="17"/>
      <c r="K30" s="4"/>
      <c r="L30" s="4"/>
      <c r="M30" s="5" t="s">
        <v>50</v>
      </c>
      <c r="N30" s="5" t="s">
        <v>71</v>
      </c>
      <c r="O30" s="14" t="s">
        <v>132</v>
      </c>
      <c r="P30" s="14">
        <v>1</v>
      </c>
    </row>
    <row r="31" spans="1:16" ht="60">
      <c r="A31" s="10" t="s">
        <v>154</v>
      </c>
      <c r="B31" s="17" t="s">
        <v>155</v>
      </c>
      <c r="C31" s="8" t="s">
        <v>46</v>
      </c>
      <c r="D31" s="8"/>
      <c r="E31" s="8"/>
      <c r="F31" s="8" t="s">
        <v>156</v>
      </c>
      <c r="G31" s="17" t="s">
        <v>157</v>
      </c>
      <c r="H31" s="17"/>
      <c r="I31" s="18" t="s">
        <v>49</v>
      </c>
      <c r="J31" s="17"/>
      <c r="K31" s="4"/>
      <c r="L31" s="4"/>
      <c r="M31" s="5" t="s">
        <v>50</v>
      </c>
      <c r="N31" s="5" t="s">
        <v>140</v>
      </c>
      <c r="O31" s="14" t="s">
        <v>132</v>
      </c>
      <c r="P31" s="14">
        <v>4</v>
      </c>
    </row>
    <row r="32" spans="1:16">
      <c r="A32" s="10" t="s">
        <v>158</v>
      </c>
      <c r="B32" s="17" t="s">
        <v>110</v>
      </c>
      <c r="C32" s="17" t="s">
        <v>46</v>
      </c>
      <c r="D32" s="17"/>
      <c r="E32" s="17"/>
      <c r="F32" s="26" t="s">
        <v>159</v>
      </c>
      <c r="G32" s="26" t="s">
        <v>112</v>
      </c>
      <c r="H32" s="26" t="s">
        <v>113</v>
      </c>
      <c r="I32" s="18" t="s">
        <v>49</v>
      </c>
      <c r="J32" s="17"/>
      <c r="K32" s="4"/>
      <c r="L32" s="4"/>
      <c r="M32" s="5" t="s">
        <v>50</v>
      </c>
      <c r="N32" s="5" t="s">
        <v>71</v>
      </c>
      <c r="O32" s="14" t="s">
        <v>132</v>
      </c>
      <c r="P32" s="14">
        <v>1</v>
      </c>
    </row>
    <row r="33" spans="1:16">
      <c r="A33" s="10" t="s">
        <v>160</v>
      </c>
      <c r="B33" s="17" t="s">
        <v>66</v>
      </c>
      <c r="C33" s="8" t="s">
        <v>46</v>
      </c>
      <c r="D33" s="8"/>
      <c r="E33" s="8"/>
      <c r="F33" s="17" t="s">
        <v>161</v>
      </c>
      <c r="G33" s="18" t="s">
        <v>162</v>
      </c>
      <c r="H33" s="17"/>
      <c r="I33" s="18" t="s">
        <v>49</v>
      </c>
      <c r="J33" s="17"/>
      <c r="K33" s="4" t="s">
        <v>163</v>
      </c>
      <c r="L33" s="4"/>
      <c r="M33" s="5" t="s">
        <v>50</v>
      </c>
      <c r="N33" s="5" t="s">
        <v>71</v>
      </c>
      <c r="O33" s="14" t="s">
        <v>132</v>
      </c>
      <c r="P33" s="14">
        <v>1</v>
      </c>
    </row>
    <row r="34" spans="1:16" ht="36.75">
      <c r="A34" s="10" t="s">
        <v>164</v>
      </c>
      <c r="B34" s="8" t="s">
        <v>110</v>
      </c>
      <c r="C34" s="8" t="s">
        <v>46</v>
      </c>
      <c r="D34" s="5" t="s">
        <v>165</v>
      </c>
      <c r="E34" s="5" t="s">
        <v>166</v>
      </c>
      <c r="F34" s="14" t="str">
        <f>IF(Patient!C7&lt;&gt;"Male",D34,E34)</f>
        <v>[13.8,17.2]</v>
      </c>
      <c r="G34" s="17" t="s">
        <v>15</v>
      </c>
      <c r="H34" s="17" t="s">
        <v>167</v>
      </c>
      <c r="I34" s="18" t="s">
        <v>49</v>
      </c>
      <c r="J34" s="17"/>
      <c r="K34" s="33" t="s">
        <v>168</v>
      </c>
      <c r="L34" s="21" t="s">
        <v>169</v>
      </c>
      <c r="M34" s="5" t="s">
        <v>50</v>
      </c>
      <c r="N34" s="5" t="s">
        <v>71</v>
      </c>
      <c r="O34" s="14" t="s">
        <v>132</v>
      </c>
      <c r="P34" s="14">
        <v>2</v>
      </c>
    </row>
    <row r="35" spans="1:16">
      <c r="A35" s="10" t="s">
        <v>170</v>
      </c>
      <c r="B35" s="18" t="s">
        <v>155</v>
      </c>
      <c r="C35" s="8" t="s">
        <v>46</v>
      </c>
      <c r="D35" s="8"/>
      <c r="E35" s="8"/>
      <c r="F35" s="26">
        <v>0.40600000000000003</v>
      </c>
      <c r="G35" s="17" t="s">
        <v>162</v>
      </c>
      <c r="H35" s="26"/>
      <c r="I35" s="18" t="s">
        <v>49</v>
      </c>
      <c r="J35" s="26"/>
      <c r="K35" s="4" t="s">
        <v>171</v>
      </c>
      <c r="L35" s="4"/>
      <c r="M35" s="5" t="s">
        <v>50</v>
      </c>
      <c r="N35" s="5" t="s">
        <v>71</v>
      </c>
      <c r="O35" s="14" t="s">
        <v>132</v>
      </c>
      <c r="P35" s="14">
        <v>3</v>
      </c>
    </row>
    <row r="36" spans="1:16" ht="24">
      <c r="A36" s="10" t="s">
        <v>172</v>
      </c>
      <c r="B36" s="18" t="s">
        <v>128</v>
      </c>
      <c r="C36" s="8" t="s">
        <v>46</v>
      </c>
      <c r="D36" s="8"/>
      <c r="E36" s="8"/>
      <c r="F36" s="26" t="s">
        <v>173</v>
      </c>
      <c r="G36" s="17" t="s">
        <v>174</v>
      </c>
      <c r="H36" s="26" t="s">
        <v>175</v>
      </c>
      <c r="I36" s="18" t="s">
        <v>49</v>
      </c>
      <c r="J36" s="5"/>
      <c r="K36" s="4" t="s">
        <v>176</v>
      </c>
      <c r="L36" s="4"/>
      <c r="M36" s="5" t="s">
        <v>50</v>
      </c>
      <c r="N36" s="5" t="s">
        <v>71</v>
      </c>
      <c r="O36" s="14" t="s">
        <v>132</v>
      </c>
      <c r="P36" s="14">
        <v>3</v>
      </c>
    </row>
    <row r="37" spans="1:16">
      <c r="A37" s="10" t="s">
        <v>177</v>
      </c>
      <c r="B37" s="17" t="s">
        <v>155</v>
      </c>
      <c r="C37" s="8" t="s">
        <v>46</v>
      </c>
      <c r="D37" s="8"/>
      <c r="E37" s="8"/>
      <c r="F37" s="26" t="s">
        <v>178</v>
      </c>
      <c r="G37" s="17" t="s">
        <v>179</v>
      </c>
      <c r="H37" s="26"/>
      <c r="I37" s="18" t="s">
        <v>49</v>
      </c>
      <c r="J37" s="5"/>
      <c r="K37" s="4"/>
      <c r="L37" s="4"/>
      <c r="M37" s="5" t="s">
        <v>50</v>
      </c>
      <c r="N37" s="5" t="s">
        <v>140</v>
      </c>
      <c r="O37" s="14" t="s">
        <v>132</v>
      </c>
      <c r="P37" s="14">
        <v>4</v>
      </c>
    </row>
    <row r="38" spans="1:16" ht="24">
      <c r="A38" s="10" t="s">
        <v>180</v>
      </c>
      <c r="B38" s="18" t="s">
        <v>128</v>
      </c>
      <c r="C38" s="8" t="s">
        <v>46</v>
      </c>
      <c r="D38" s="8"/>
      <c r="E38" s="8"/>
      <c r="F38" s="8" t="s">
        <v>181</v>
      </c>
      <c r="G38" s="17" t="s">
        <v>182</v>
      </c>
      <c r="H38" s="8" t="s">
        <v>183</v>
      </c>
      <c r="I38" s="18" t="s">
        <v>49</v>
      </c>
      <c r="J38" s="8"/>
      <c r="K38" s="4" t="s">
        <v>184</v>
      </c>
      <c r="L38" s="4"/>
      <c r="M38" s="5" t="s">
        <v>50</v>
      </c>
      <c r="N38" s="5" t="s">
        <v>71</v>
      </c>
      <c r="O38" s="14" t="s">
        <v>132</v>
      </c>
      <c r="P38" s="14">
        <v>2</v>
      </c>
    </row>
    <row r="39" spans="1:16" ht="24">
      <c r="A39" s="10" t="s">
        <v>185</v>
      </c>
      <c r="B39" s="18" t="s">
        <v>110</v>
      </c>
      <c r="C39" s="8" t="s">
        <v>46</v>
      </c>
      <c r="D39" s="8"/>
      <c r="E39" s="8"/>
      <c r="F39" s="8" t="s">
        <v>186</v>
      </c>
      <c r="G39" s="17" t="s">
        <v>112</v>
      </c>
      <c r="H39" s="8" t="s">
        <v>187</v>
      </c>
      <c r="I39" s="18" t="s">
        <v>49</v>
      </c>
      <c r="J39" s="8"/>
      <c r="K39" s="34" t="s">
        <v>188</v>
      </c>
      <c r="L39" s="4"/>
      <c r="M39" s="5" t="s">
        <v>50</v>
      </c>
      <c r="N39" s="5" t="s">
        <v>140</v>
      </c>
      <c r="O39" s="14" t="s">
        <v>132</v>
      </c>
      <c r="P39" s="14">
        <v>3</v>
      </c>
    </row>
    <row r="40" spans="1:16">
      <c r="A40" s="10" t="s">
        <v>189</v>
      </c>
      <c r="B40" s="26" t="s">
        <v>66</v>
      </c>
      <c r="C40" s="35" t="s">
        <v>46</v>
      </c>
      <c r="D40" s="35"/>
      <c r="E40" s="35"/>
      <c r="F40" s="36" t="s">
        <v>190</v>
      </c>
      <c r="G40" s="36" t="s">
        <v>112</v>
      </c>
      <c r="H40" s="36" t="s">
        <v>138</v>
      </c>
      <c r="I40" s="36" t="s">
        <v>49</v>
      </c>
      <c r="J40" s="36"/>
      <c r="K40" s="4" t="s">
        <v>191</v>
      </c>
      <c r="L40" s="4"/>
      <c r="M40" s="5" t="s">
        <v>50</v>
      </c>
      <c r="N40" s="5" t="s">
        <v>71</v>
      </c>
      <c r="O40" s="14" t="s">
        <v>132</v>
      </c>
      <c r="P40" s="14"/>
    </row>
    <row r="41" spans="1:16" ht="36">
      <c r="A41" s="10" t="s">
        <v>192</v>
      </c>
      <c r="B41" s="26" t="s">
        <v>66</v>
      </c>
      <c r="C41" s="8" t="s">
        <v>46</v>
      </c>
      <c r="D41" s="8"/>
      <c r="E41" s="8"/>
      <c r="F41" s="26" t="s">
        <v>193</v>
      </c>
      <c r="G41" s="26" t="s">
        <v>194</v>
      </c>
      <c r="H41" s="26"/>
      <c r="I41" s="18" t="s">
        <v>49</v>
      </c>
      <c r="J41" s="37" t="s">
        <v>195</v>
      </c>
      <c r="K41" s="38" t="s">
        <v>196</v>
      </c>
      <c r="L41" s="39" t="s">
        <v>197</v>
      </c>
      <c r="M41" s="5" t="s">
        <v>50</v>
      </c>
      <c r="N41" s="5" t="s">
        <v>71</v>
      </c>
      <c r="O41" s="14" t="s">
        <v>132</v>
      </c>
      <c r="P41" s="14">
        <v>2</v>
      </c>
    </row>
    <row r="42" spans="1:16" ht="24">
      <c r="A42" s="28" t="s">
        <v>198</v>
      </c>
      <c r="B42" s="3" t="s">
        <v>1</v>
      </c>
      <c r="C42" s="9" t="s">
        <v>31</v>
      </c>
      <c r="D42" s="9" t="s">
        <v>32</v>
      </c>
      <c r="E42" s="9" t="s">
        <v>33</v>
      </c>
      <c r="F42" s="9" t="s">
        <v>124</v>
      </c>
      <c r="G42" s="29" t="s">
        <v>125</v>
      </c>
      <c r="H42" s="29" t="s">
        <v>126</v>
      </c>
      <c r="I42" s="29" t="s">
        <v>36</v>
      </c>
      <c r="J42" s="3" t="s">
        <v>37</v>
      </c>
      <c r="K42" s="3" t="s">
        <v>38</v>
      </c>
      <c r="L42" s="29" t="s">
        <v>39</v>
      </c>
      <c r="M42" s="9" t="s">
        <v>40</v>
      </c>
      <c r="N42" s="9" t="s">
        <v>41</v>
      </c>
      <c r="O42" s="9" t="s">
        <v>42</v>
      </c>
      <c r="P42" s="9" t="s">
        <v>43</v>
      </c>
    </row>
    <row r="43" spans="1:16">
      <c r="A43" s="10" t="s">
        <v>199</v>
      </c>
      <c r="B43" s="8" t="s">
        <v>200</v>
      </c>
      <c r="C43" s="8" t="s">
        <v>46</v>
      </c>
      <c r="D43" s="8"/>
      <c r="E43" s="8"/>
      <c r="F43" s="8">
        <v>40</v>
      </c>
      <c r="G43" s="8" t="s">
        <v>15</v>
      </c>
      <c r="H43" s="8" t="s">
        <v>201</v>
      </c>
      <c r="I43" s="8" t="s">
        <v>49</v>
      </c>
      <c r="J43" s="8"/>
      <c r="K43" s="4"/>
      <c r="L43" s="4"/>
      <c r="M43" s="5" t="s">
        <v>50</v>
      </c>
      <c r="N43" s="5" t="s">
        <v>71</v>
      </c>
      <c r="O43" s="14" t="s">
        <v>52</v>
      </c>
      <c r="P43" s="14"/>
    </row>
    <row r="44" spans="1:16">
      <c r="A44" s="10" t="s">
        <v>202</v>
      </c>
      <c r="B44" s="8" t="s">
        <v>200</v>
      </c>
      <c r="C44" s="8" t="s">
        <v>46</v>
      </c>
      <c r="D44" s="8"/>
      <c r="E44" s="8"/>
      <c r="F44" s="8">
        <v>95</v>
      </c>
      <c r="G44" s="8" t="s">
        <v>15</v>
      </c>
      <c r="H44" s="8" t="s">
        <v>203</v>
      </c>
      <c r="I44" s="8" t="s">
        <v>49</v>
      </c>
      <c r="J44" s="8"/>
      <c r="K44" s="4"/>
      <c r="L44" s="4"/>
      <c r="M44" s="5" t="s">
        <v>50</v>
      </c>
      <c r="N44" s="5" t="s">
        <v>71</v>
      </c>
      <c r="O44" s="14" t="s">
        <v>52</v>
      </c>
      <c r="P44" s="14"/>
    </row>
    <row r="45" spans="1:16">
      <c r="A45" s="10" t="s">
        <v>204</v>
      </c>
      <c r="B45" s="8" t="s">
        <v>200</v>
      </c>
      <c r="C45" s="8" t="s">
        <v>46</v>
      </c>
      <c r="D45" s="8"/>
      <c r="E45" s="8"/>
      <c r="F45" s="20">
        <v>45</v>
      </c>
      <c r="G45" s="8" t="s">
        <v>15</v>
      </c>
      <c r="H45" s="8" t="s">
        <v>201</v>
      </c>
      <c r="I45" s="8" t="s">
        <v>49</v>
      </c>
      <c r="J45" s="8"/>
      <c r="K45" s="4"/>
      <c r="L45" s="4"/>
      <c r="M45" s="5" t="s">
        <v>50</v>
      </c>
      <c r="N45" s="5" t="s">
        <v>71</v>
      </c>
      <c r="O45" s="14" t="s">
        <v>52</v>
      </c>
      <c r="P45" s="14"/>
    </row>
    <row r="46" spans="1:16">
      <c r="A46" s="10" t="s">
        <v>205</v>
      </c>
      <c r="B46" s="8" t="s">
        <v>200</v>
      </c>
      <c r="C46" s="8" t="s">
        <v>46</v>
      </c>
      <c r="D46" s="8"/>
      <c r="E46" s="8"/>
      <c r="F46" s="20">
        <v>40</v>
      </c>
      <c r="G46" s="8" t="s">
        <v>15</v>
      </c>
      <c r="H46" s="8" t="s">
        <v>206</v>
      </c>
      <c r="I46" s="8" t="s">
        <v>49</v>
      </c>
      <c r="J46" s="8"/>
      <c r="K46" s="4"/>
      <c r="L46" s="4"/>
      <c r="M46" s="5" t="s">
        <v>50</v>
      </c>
      <c r="N46" s="5" t="s">
        <v>71</v>
      </c>
      <c r="O46" s="14" t="s">
        <v>52</v>
      </c>
      <c r="P46" s="14"/>
    </row>
    <row r="47" spans="1:16">
      <c r="A47" s="10" t="s">
        <v>207</v>
      </c>
      <c r="B47" s="8" t="s">
        <v>200</v>
      </c>
      <c r="C47" s="8" t="s">
        <v>46</v>
      </c>
      <c r="D47" s="8"/>
      <c r="E47" s="8"/>
      <c r="F47" s="20">
        <v>40</v>
      </c>
      <c r="G47" s="8" t="s">
        <v>15</v>
      </c>
      <c r="H47" s="8" t="s">
        <v>208</v>
      </c>
      <c r="I47" s="8" t="s">
        <v>49</v>
      </c>
      <c r="J47" s="8"/>
      <c r="K47" s="4"/>
      <c r="L47" s="4"/>
      <c r="M47" s="5" t="s">
        <v>50</v>
      </c>
      <c r="N47" s="5" t="s">
        <v>71</v>
      </c>
      <c r="O47" s="14" t="s">
        <v>52</v>
      </c>
      <c r="P47" s="14"/>
    </row>
    <row r="48" spans="1:16">
      <c r="A48" s="10" t="s">
        <v>209</v>
      </c>
      <c r="B48" s="8" t="s">
        <v>200</v>
      </c>
      <c r="C48" s="8" t="s">
        <v>46</v>
      </c>
      <c r="D48" s="8"/>
      <c r="E48" s="8"/>
      <c r="F48" s="20">
        <v>104</v>
      </c>
      <c r="G48" s="8" t="s">
        <v>15</v>
      </c>
      <c r="H48" s="8" t="s">
        <v>206</v>
      </c>
      <c r="I48" s="8" t="s">
        <v>49</v>
      </c>
      <c r="J48" s="8"/>
      <c r="K48" s="4"/>
      <c r="L48" s="4"/>
      <c r="M48" s="5" t="s">
        <v>50</v>
      </c>
      <c r="N48" s="5" t="s">
        <v>71</v>
      </c>
      <c r="O48" s="14" t="s">
        <v>52</v>
      </c>
      <c r="P48" s="14"/>
    </row>
    <row r="49" spans="1:16">
      <c r="A49" s="10" t="s">
        <v>210</v>
      </c>
      <c r="B49" s="8" t="s">
        <v>200</v>
      </c>
      <c r="C49" s="8" t="s">
        <v>46</v>
      </c>
      <c r="D49" s="8"/>
      <c r="E49" s="8"/>
      <c r="F49" s="8">
        <v>40</v>
      </c>
      <c r="G49" s="8" t="s">
        <v>15</v>
      </c>
      <c r="H49" s="8" t="s">
        <v>201</v>
      </c>
      <c r="I49" s="8" t="s">
        <v>49</v>
      </c>
      <c r="J49" s="8"/>
      <c r="K49" s="4"/>
      <c r="L49" s="4"/>
      <c r="M49" s="5" t="s">
        <v>50</v>
      </c>
      <c r="N49" s="5" t="s">
        <v>71</v>
      </c>
      <c r="O49" s="14" t="s">
        <v>52</v>
      </c>
      <c r="P49" s="14"/>
    </row>
    <row r="50" spans="1:16">
      <c r="A50" s="10" t="s">
        <v>211</v>
      </c>
      <c r="B50" s="8" t="s">
        <v>200</v>
      </c>
      <c r="C50" s="8" t="s">
        <v>46</v>
      </c>
      <c r="D50" s="8"/>
      <c r="E50" s="8"/>
      <c r="F50" s="8">
        <v>45</v>
      </c>
      <c r="G50" s="8" t="s">
        <v>15</v>
      </c>
      <c r="H50" s="8" t="s">
        <v>201</v>
      </c>
      <c r="I50" s="8" t="s">
        <v>49</v>
      </c>
      <c r="J50" s="8"/>
      <c r="K50" s="4"/>
      <c r="L50" s="4"/>
      <c r="M50" s="5" t="s">
        <v>50</v>
      </c>
      <c r="N50" s="5" t="s">
        <v>71</v>
      </c>
      <c r="O50" s="14" t="s">
        <v>52</v>
      </c>
      <c r="P50" s="14"/>
    </row>
    <row r="51" spans="1:16" ht="24">
      <c r="A51" s="3" t="s">
        <v>212</v>
      </c>
      <c r="B51" s="9" t="s">
        <v>1</v>
      </c>
      <c r="C51" s="9" t="s">
        <v>31</v>
      </c>
      <c r="D51" s="9" t="s">
        <v>32</v>
      </c>
      <c r="E51" s="9" t="s">
        <v>33</v>
      </c>
      <c r="F51" s="9" t="s">
        <v>34</v>
      </c>
      <c r="G51" s="9" t="s">
        <v>3</v>
      </c>
      <c r="H51" s="9" t="s">
        <v>35</v>
      </c>
      <c r="I51" s="29" t="s">
        <v>36</v>
      </c>
      <c r="J51" s="9" t="s">
        <v>37</v>
      </c>
      <c r="K51" s="9" t="s">
        <v>38</v>
      </c>
      <c r="L51" s="9" t="s">
        <v>39</v>
      </c>
      <c r="M51" s="9" t="s">
        <v>40</v>
      </c>
      <c r="N51" s="9" t="s">
        <v>41</v>
      </c>
      <c r="O51" s="9" t="s">
        <v>42</v>
      </c>
      <c r="P51" s="9" t="s">
        <v>43</v>
      </c>
    </row>
    <row r="52" spans="1:16" ht="24">
      <c r="A52" s="40" t="s">
        <v>58</v>
      </c>
      <c r="B52" s="8"/>
      <c r="C52" s="8" t="s">
        <v>46</v>
      </c>
      <c r="D52" s="8"/>
      <c r="E52" s="8"/>
      <c r="F52" s="8" t="str">
        <f>F4</f>
        <v>7.2,
 [7.35,7.4]</v>
      </c>
      <c r="G52" s="8" t="str">
        <f>G4</f>
        <v>valentin2002icrp,  guyton2006medical</v>
      </c>
      <c r="H52" s="8" t="str">
        <f>H4</f>
        <v>p137                                 p384</v>
      </c>
      <c r="I52" s="8" t="str">
        <f>I4</f>
        <v>Y</v>
      </c>
      <c r="J52" s="4" t="s">
        <v>213</v>
      </c>
      <c r="K52" s="4" t="s">
        <v>1193</v>
      </c>
      <c r="L52" s="4"/>
      <c r="M52" s="5" t="s">
        <v>214</v>
      </c>
      <c r="N52" s="5" t="s">
        <v>71</v>
      </c>
      <c r="O52" s="5" t="s">
        <v>1189</v>
      </c>
      <c r="P52" s="14"/>
    </row>
    <row r="53" spans="1:16">
      <c r="A53" s="40" t="s">
        <v>215</v>
      </c>
      <c r="B53" s="18" t="s">
        <v>45</v>
      </c>
      <c r="C53" s="8" t="s">
        <v>46</v>
      </c>
      <c r="D53" s="8"/>
      <c r="E53" s="8"/>
      <c r="F53" s="8" t="s">
        <v>216</v>
      </c>
      <c r="G53" s="18" t="s">
        <v>112</v>
      </c>
      <c r="H53" s="8" t="s">
        <v>138</v>
      </c>
      <c r="I53" s="8" t="s">
        <v>49</v>
      </c>
      <c r="J53" s="4" t="s">
        <v>217</v>
      </c>
      <c r="K53" s="4"/>
      <c r="L53" s="4"/>
      <c r="M53" s="5" t="s">
        <v>214</v>
      </c>
      <c r="N53" s="5" t="s">
        <v>71</v>
      </c>
      <c r="O53" s="5" t="s">
        <v>1189</v>
      </c>
      <c r="P53" s="14"/>
    </row>
    <row r="54" spans="1:16">
      <c r="A54" s="40" t="s">
        <v>218</v>
      </c>
      <c r="B54" s="8" t="s">
        <v>200</v>
      </c>
      <c r="C54" s="8" t="s">
        <v>46</v>
      </c>
      <c r="D54" s="8"/>
      <c r="E54" s="8"/>
      <c r="F54" s="8">
        <v>95</v>
      </c>
      <c r="G54" s="8" t="s">
        <v>15</v>
      </c>
      <c r="H54" s="8" t="s">
        <v>203</v>
      </c>
      <c r="I54" s="8" t="s">
        <v>49</v>
      </c>
      <c r="J54" s="4" t="s">
        <v>213</v>
      </c>
      <c r="K54" s="4"/>
      <c r="L54" s="4"/>
      <c r="M54" s="5" t="s">
        <v>214</v>
      </c>
      <c r="N54" s="5" t="s">
        <v>71</v>
      </c>
      <c r="O54" s="5" t="s">
        <v>1189</v>
      </c>
      <c r="P54" s="14"/>
    </row>
    <row r="55" spans="1:16">
      <c r="A55" s="40" t="s">
        <v>219</v>
      </c>
      <c r="B55" s="8" t="s">
        <v>200</v>
      </c>
      <c r="C55" s="8" t="s">
        <v>46</v>
      </c>
      <c r="D55" s="8"/>
      <c r="E55" s="8"/>
      <c r="F55" s="8">
        <v>40</v>
      </c>
      <c r="G55" s="8" t="s">
        <v>15</v>
      </c>
      <c r="H55" s="8" t="s">
        <v>201</v>
      </c>
      <c r="I55" s="8" t="s">
        <v>49</v>
      </c>
      <c r="J55" s="4" t="s">
        <v>213</v>
      </c>
      <c r="K55" s="4"/>
      <c r="L55" s="4"/>
      <c r="M55" s="5" t="s">
        <v>214</v>
      </c>
      <c r="N55" s="5" t="s">
        <v>71</v>
      </c>
      <c r="O55" s="5" t="s">
        <v>1189</v>
      </c>
      <c r="P55" s="14"/>
    </row>
    <row r="56" spans="1:16" ht="24">
      <c r="A56" s="40" t="s">
        <v>85</v>
      </c>
      <c r="B56" s="8"/>
      <c r="C56" s="8" t="s">
        <v>46</v>
      </c>
      <c r="D56" s="8"/>
      <c r="E56" s="8"/>
      <c r="F56" s="8" t="s">
        <v>86</v>
      </c>
      <c r="G56" s="8" t="s">
        <v>78</v>
      </c>
      <c r="H56" s="8" t="s">
        <v>87</v>
      </c>
      <c r="I56" s="8" t="s">
        <v>49</v>
      </c>
      <c r="J56" s="4" t="s">
        <v>213</v>
      </c>
      <c r="K56" s="4"/>
      <c r="L56" s="4"/>
      <c r="M56" s="5" t="s">
        <v>214</v>
      </c>
      <c r="N56" s="5" t="s">
        <v>71</v>
      </c>
      <c r="O56" s="5" t="s">
        <v>1189</v>
      </c>
      <c r="P56" s="14"/>
    </row>
    <row r="57" spans="1:16" ht="24">
      <c r="A57" s="3" t="s">
        <v>220</v>
      </c>
      <c r="B57" s="9" t="s">
        <v>1</v>
      </c>
      <c r="C57" s="9" t="s">
        <v>31</v>
      </c>
      <c r="D57" s="9"/>
      <c r="E57" s="9"/>
      <c r="F57" s="9" t="s">
        <v>34</v>
      </c>
      <c r="G57" s="9" t="s">
        <v>3</v>
      </c>
      <c r="H57" s="9" t="s">
        <v>35</v>
      </c>
      <c r="I57" s="29" t="s">
        <v>36</v>
      </c>
      <c r="J57" s="9" t="s">
        <v>37</v>
      </c>
      <c r="K57" s="9" t="s">
        <v>38</v>
      </c>
      <c r="L57" s="9" t="s">
        <v>39</v>
      </c>
      <c r="M57" s="9" t="s">
        <v>40</v>
      </c>
      <c r="N57" s="9" t="s">
        <v>41</v>
      </c>
      <c r="O57" s="9" t="s">
        <v>42</v>
      </c>
      <c r="P57" s="9" t="s">
        <v>43</v>
      </c>
    </row>
    <row r="58" spans="1:16">
      <c r="A58" s="40" t="s">
        <v>76</v>
      </c>
      <c r="B58" s="4"/>
      <c r="C58" s="5" t="s">
        <v>46</v>
      </c>
      <c r="D58" s="5"/>
      <c r="E58" s="5"/>
      <c r="F58" s="14" t="str">
        <f>F9</f>
        <v>0.42,
[0.4,0.5]</v>
      </c>
      <c r="G58" s="14" t="str">
        <f>G9</f>
        <v>guyton2006medical,
valtin1995renal</v>
      </c>
      <c r="H58" s="4"/>
      <c r="I58" s="5" t="s">
        <v>49</v>
      </c>
      <c r="J58" s="4"/>
      <c r="K58" s="4"/>
      <c r="L58" s="4"/>
      <c r="M58" s="5" t="s">
        <v>221</v>
      </c>
      <c r="N58" s="5" t="s">
        <v>71</v>
      </c>
      <c r="O58" s="5" t="s">
        <v>1190</v>
      </c>
      <c r="P58" s="14"/>
    </row>
    <row r="59" spans="1:16">
      <c r="A59" s="40" t="s">
        <v>222</v>
      </c>
      <c r="B59" s="5" t="s">
        <v>110</v>
      </c>
      <c r="C59" s="5" t="s">
        <v>46</v>
      </c>
      <c r="D59" s="5" t="s">
        <v>165</v>
      </c>
      <c r="E59" s="5" t="s">
        <v>166</v>
      </c>
      <c r="F59" s="14" t="str">
        <f>IF(Patient!C2="Male",D59,E59)</f>
        <v>[13.8,17.2]</v>
      </c>
      <c r="G59" s="14" t="str">
        <f>G34</f>
        <v>guyton2006medical</v>
      </c>
      <c r="H59" s="4"/>
      <c r="I59" s="5" t="s">
        <v>49</v>
      </c>
      <c r="J59" s="4"/>
      <c r="K59" s="4"/>
      <c r="L59" s="4"/>
      <c r="M59" s="5" t="s">
        <v>221</v>
      </c>
      <c r="N59" s="5" t="s">
        <v>71</v>
      </c>
      <c r="O59" s="5" t="s">
        <v>1190</v>
      </c>
      <c r="P59" s="14"/>
    </row>
    <row r="60" spans="1:16">
      <c r="A60" s="40" t="s">
        <v>223</v>
      </c>
      <c r="B60" s="5" t="s">
        <v>224</v>
      </c>
      <c r="C60" s="5" t="s">
        <v>46</v>
      </c>
      <c r="D60" s="5"/>
      <c r="E60" s="5"/>
      <c r="F60" s="14" t="s">
        <v>225</v>
      </c>
      <c r="G60" s="8" t="s">
        <v>226</v>
      </c>
      <c r="H60" s="5"/>
      <c r="I60" s="5" t="s">
        <v>49</v>
      </c>
      <c r="J60" s="4"/>
      <c r="K60" s="41" t="s">
        <v>227</v>
      </c>
      <c r="L60" s="4"/>
      <c r="M60" s="5" t="s">
        <v>221</v>
      </c>
      <c r="N60" s="5" t="s">
        <v>71</v>
      </c>
      <c r="O60" s="5" t="s">
        <v>1190</v>
      </c>
      <c r="P60" s="14"/>
    </row>
    <row r="61" spans="1:16">
      <c r="A61" s="40" t="s">
        <v>228</v>
      </c>
      <c r="B61" s="5" t="s">
        <v>110</v>
      </c>
      <c r="C61" s="5" t="s">
        <v>46</v>
      </c>
      <c r="D61" s="5"/>
      <c r="E61" s="5"/>
      <c r="F61" s="14" t="s">
        <v>229</v>
      </c>
      <c r="G61" s="8" t="s">
        <v>230</v>
      </c>
      <c r="H61" s="4"/>
      <c r="I61" s="5" t="s">
        <v>49</v>
      </c>
      <c r="J61" s="4"/>
      <c r="K61" s="4"/>
      <c r="L61" s="4"/>
      <c r="M61" s="5" t="s">
        <v>221</v>
      </c>
      <c r="N61" s="5" t="s">
        <v>71</v>
      </c>
      <c r="O61" s="5" t="s">
        <v>1190</v>
      </c>
      <c r="P61" s="14"/>
    </row>
    <row r="62" spans="1:16">
      <c r="A62" s="40" t="s">
        <v>231</v>
      </c>
      <c r="B62" s="5" t="s">
        <v>232</v>
      </c>
      <c r="C62" s="5" t="s">
        <v>46</v>
      </c>
      <c r="D62" s="5"/>
      <c r="E62" s="5"/>
      <c r="F62" s="42">
        <v>8.9999999999999999E-8</v>
      </c>
      <c r="G62" s="8" t="s">
        <v>15</v>
      </c>
      <c r="H62" s="5" t="s">
        <v>233</v>
      </c>
      <c r="I62" s="5" t="s">
        <v>49</v>
      </c>
      <c r="J62" s="4"/>
      <c r="K62" s="4"/>
      <c r="L62" s="4"/>
      <c r="M62" s="5" t="s">
        <v>221</v>
      </c>
      <c r="N62" s="5" t="s">
        <v>101</v>
      </c>
      <c r="O62" s="5" t="s">
        <v>1190</v>
      </c>
      <c r="P62" s="14"/>
    </row>
    <row r="63" spans="1:16">
      <c r="A63" s="40" t="s">
        <v>234</v>
      </c>
      <c r="B63" s="5" t="s">
        <v>99</v>
      </c>
      <c r="C63" s="5" t="s">
        <v>46</v>
      </c>
      <c r="D63" s="5"/>
      <c r="E63" s="5"/>
      <c r="F63" s="17" t="s">
        <v>235</v>
      </c>
      <c r="G63" s="43" t="s">
        <v>236</v>
      </c>
      <c r="H63" s="4"/>
      <c r="I63" s="5" t="s">
        <v>49</v>
      </c>
      <c r="J63" s="4"/>
      <c r="K63" s="4" t="s">
        <v>237</v>
      </c>
      <c r="L63" s="4"/>
      <c r="M63" s="5" t="s">
        <v>221</v>
      </c>
      <c r="N63" s="5" t="s">
        <v>101</v>
      </c>
      <c r="O63" s="5" t="s">
        <v>1190</v>
      </c>
      <c r="P63" s="14"/>
    </row>
    <row r="64" spans="1:16">
      <c r="A64" s="40" t="s">
        <v>98</v>
      </c>
      <c r="B64" s="14" t="str">
        <f>B17</f>
        <v>ct/uL</v>
      </c>
      <c r="C64" s="5" t="s">
        <v>46</v>
      </c>
      <c r="D64" s="5"/>
      <c r="E64" s="5"/>
      <c r="F64" s="14">
        <f>F17</f>
        <v>5172413.793103449</v>
      </c>
      <c r="G64" s="14" t="str">
        <f>G17</f>
        <v>guyton2006medical</v>
      </c>
      <c r="H64" s="4"/>
      <c r="I64" s="5" t="s">
        <v>49</v>
      </c>
      <c r="J64" s="4"/>
      <c r="K64" s="4"/>
      <c r="L64" s="4"/>
      <c r="M64" s="5" t="s">
        <v>221</v>
      </c>
      <c r="N64" s="5" t="s">
        <v>101</v>
      </c>
      <c r="O64" s="5" t="s">
        <v>1190</v>
      </c>
      <c r="P64" s="14"/>
    </row>
    <row r="65" spans="1:16">
      <c r="A65" s="40" t="s">
        <v>118</v>
      </c>
      <c r="B65" s="44" t="str">
        <f>B23</f>
        <v>ct/uL</v>
      </c>
      <c r="C65" s="5" t="s">
        <v>46</v>
      </c>
      <c r="D65" s="5"/>
      <c r="E65" s="5"/>
      <c r="F65" s="44">
        <f>F23</f>
        <v>7000</v>
      </c>
      <c r="G65" s="44" t="str">
        <f>G23</f>
        <v xml:space="preserve">guyton2006medical   </v>
      </c>
      <c r="H65" s="4"/>
      <c r="I65" s="5" t="s">
        <v>49</v>
      </c>
      <c r="J65" s="4"/>
      <c r="K65" s="4"/>
      <c r="L65" s="4"/>
      <c r="M65" s="5" t="s">
        <v>221</v>
      </c>
      <c r="N65" s="5" t="s">
        <v>71</v>
      </c>
      <c r="O65" s="5" t="s">
        <v>1190</v>
      </c>
      <c r="P65" s="14"/>
    </row>
    <row r="66" spans="1:16" ht="24">
      <c r="A66" s="3" t="s">
        <v>238</v>
      </c>
      <c r="B66" s="9" t="s">
        <v>1</v>
      </c>
      <c r="C66" s="9" t="s">
        <v>31</v>
      </c>
      <c r="D66" s="9" t="s">
        <v>32</v>
      </c>
      <c r="E66" s="9" t="s">
        <v>33</v>
      </c>
      <c r="F66" s="9" t="s">
        <v>34</v>
      </c>
      <c r="G66" s="9" t="s">
        <v>3</v>
      </c>
      <c r="H66" s="9" t="s">
        <v>35</v>
      </c>
      <c r="I66" s="29" t="s">
        <v>36</v>
      </c>
      <c r="J66" s="9" t="s">
        <v>37</v>
      </c>
      <c r="K66" s="9" t="s">
        <v>38</v>
      </c>
      <c r="L66" s="9" t="s">
        <v>39</v>
      </c>
      <c r="M66" s="9" t="s">
        <v>40</v>
      </c>
      <c r="N66" s="9" t="s">
        <v>41</v>
      </c>
      <c r="O66" s="9" t="s">
        <v>42</v>
      </c>
      <c r="P66" s="9" t="s">
        <v>43</v>
      </c>
    </row>
    <row r="67" spans="1:16">
      <c r="A67" s="40" t="s">
        <v>239</v>
      </c>
      <c r="B67" s="5" t="s">
        <v>110</v>
      </c>
      <c r="C67" s="5" t="s">
        <v>46</v>
      </c>
      <c r="D67" s="5"/>
      <c r="E67" s="5"/>
      <c r="F67" s="14" t="str">
        <f>F26</f>
        <v>[4,5]</v>
      </c>
      <c r="G67" s="14" t="str">
        <f>G26</f>
        <v>valtin1995renal</v>
      </c>
      <c r="H67" s="4"/>
      <c r="I67" s="5" t="s">
        <v>49</v>
      </c>
      <c r="J67" s="4"/>
      <c r="K67" s="4"/>
      <c r="L67" s="4"/>
      <c r="M67" s="5" t="s">
        <v>240</v>
      </c>
      <c r="N67" s="5" t="s">
        <v>71</v>
      </c>
      <c r="O67" s="5" t="s">
        <v>1191</v>
      </c>
      <c r="P67" s="14"/>
    </row>
    <row r="68" spans="1:16">
      <c r="A68" s="40" t="s">
        <v>241</v>
      </c>
      <c r="B68" s="4"/>
      <c r="C68" s="5" t="s">
        <v>46</v>
      </c>
      <c r="D68" s="5"/>
      <c r="E68" s="5"/>
      <c r="F68" s="14"/>
      <c r="G68" s="4"/>
      <c r="H68" s="4"/>
      <c r="I68" s="5" t="s">
        <v>49</v>
      </c>
      <c r="J68" s="4"/>
      <c r="K68" s="4"/>
      <c r="L68" s="4"/>
      <c r="M68" s="5" t="s">
        <v>240</v>
      </c>
      <c r="N68" s="5" t="s">
        <v>71</v>
      </c>
      <c r="O68" s="5" t="s">
        <v>1191</v>
      </c>
      <c r="P68" s="14"/>
    </row>
    <row r="69" spans="1:16">
      <c r="A69" s="40" t="s">
        <v>242</v>
      </c>
      <c r="B69" s="4"/>
      <c r="C69" s="5" t="s">
        <v>46</v>
      </c>
      <c r="D69" s="5"/>
      <c r="E69" s="5"/>
      <c r="F69" s="14"/>
      <c r="G69" s="4"/>
      <c r="H69" s="4"/>
      <c r="I69" s="5" t="s">
        <v>49</v>
      </c>
      <c r="J69" s="4"/>
      <c r="K69" s="4"/>
      <c r="L69" s="4"/>
      <c r="M69" s="5" t="s">
        <v>240</v>
      </c>
      <c r="N69" s="5" t="s">
        <v>71</v>
      </c>
      <c r="O69" s="5" t="s">
        <v>1191</v>
      </c>
      <c r="P69" s="14"/>
    </row>
    <row r="70" spans="1:16">
      <c r="A70" s="40" t="s">
        <v>243</v>
      </c>
      <c r="B70" s="4"/>
      <c r="C70" s="5" t="s">
        <v>46</v>
      </c>
      <c r="D70" s="5"/>
      <c r="E70" s="5"/>
      <c r="F70" s="14"/>
      <c r="G70" s="4"/>
      <c r="H70" s="4"/>
      <c r="I70" s="5" t="s">
        <v>49</v>
      </c>
      <c r="J70" s="4"/>
      <c r="K70" s="4"/>
      <c r="L70" s="4"/>
      <c r="M70" s="5" t="s">
        <v>240</v>
      </c>
      <c r="N70" s="5" t="s">
        <v>71</v>
      </c>
      <c r="O70" s="5" t="s">
        <v>1191</v>
      </c>
      <c r="P70" s="14"/>
    </row>
    <row r="71" spans="1:16">
      <c r="A71" s="40" t="s">
        <v>244</v>
      </c>
      <c r="B71" s="5" t="s">
        <v>66</v>
      </c>
      <c r="C71" s="5" t="s">
        <v>46</v>
      </c>
      <c r="D71" s="5"/>
      <c r="E71" s="5"/>
      <c r="F71" s="14" t="str">
        <f>F6</f>
        <v>[9.0,18.0],
[6.0,20.0]</v>
      </c>
      <c r="G71" s="14" t="str">
        <f>G6</f>
        <v>valtin1995renal,
Deepakfirst</v>
      </c>
      <c r="H71" s="4"/>
      <c r="I71" s="5" t="s">
        <v>49</v>
      </c>
      <c r="J71" s="4"/>
      <c r="K71" s="4"/>
      <c r="L71" s="4"/>
      <c r="M71" s="5" t="s">
        <v>240</v>
      </c>
      <c r="N71" s="5" t="s">
        <v>71</v>
      </c>
      <c r="O71" s="5" t="s">
        <v>1191</v>
      </c>
      <c r="P71" s="14"/>
    </row>
    <row r="72" spans="1:16">
      <c r="A72" s="40" t="s">
        <v>245</v>
      </c>
      <c r="B72" s="5" t="s">
        <v>128</v>
      </c>
      <c r="C72" s="5" t="s">
        <v>46</v>
      </c>
      <c r="D72" s="5"/>
      <c r="E72" s="5"/>
      <c r="F72" s="14" t="str">
        <f>F28</f>
        <v>[44.08,52.1]</v>
      </c>
      <c r="G72" s="14" t="str">
        <f>G28</f>
        <v>cheuvront2014comparison</v>
      </c>
      <c r="H72" s="4"/>
      <c r="I72" s="5" t="s">
        <v>49</v>
      </c>
      <c r="J72" s="4"/>
      <c r="K72" s="4"/>
      <c r="L72" s="4"/>
      <c r="M72" s="5" t="s">
        <v>240</v>
      </c>
      <c r="N72" s="5" t="s">
        <v>71</v>
      </c>
      <c r="O72" s="5" t="s">
        <v>1191</v>
      </c>
      <c r="P72" s="14"/>
    </row>
    <row r="73" spans="1:16">
      <c r="A73" s="40" t="s">
        <v>246</v>
      </c>
      <c r="B73" s="14"/>
      <c r="C73" s="5" t="s">
        <v>46</v>
      </c>
      <c r="D73" s="5"/>
      <c r="E73" s="5"/>
      <c r="F73" s="14"/>
      <c r="G73" s="4"/>
      <c r="H73" s="4"/>
      <c r="I73" s="5" t="s">
        <v>49</v>
      </c>
      <c r="J73" s="4"/>
      <c r="K73" s="4"/>
      <c r="L73" s="4"/>
      <c r="M73" s="5" t="s">
        <v>240</v>
      </c>
      <c r="N73" s="5" t="s">
        <v>71</v>
      </c>
      <c r="O73" s="5" t="s">
        <v>1191</v>
      </c>
      <c r="P73" s="14"/>
    </row>
    <row r="74" spans="1:16">
      <c r="A74" s="40" t="s">
        <v>247</v>
      </c>
      <c r="B74" s="14" t="s">
        <v>89</v>
      </c>
      <c r="C74" s="5" t="s">
        <v>46</v>
      </c>
      <c r="D74" s="5"/>
      <c r="E74" s="5"/>
      <c r="F74" s="14" t="s">
        <v>248</v>
      </c>
      <c r="G74" s="14" t="str">
        <f>G27</f>
        <v>valtin1995renal</v>
      </c>
      <c r="H74" s="4"/>
      <c r="I74" s="5" t="s">
        <v>49</v>
      </c>
      <c r="J74" s="4"/>
      <c r="K74" s="4"/>
      <c r="L74" s="4"/>
      <c r="M74" s="5" t="s">
        <v>240</v>
      </c>
      <c r="N74" s="5" t="s">
        <v>71</v>
      </c>
      <c r="O74" s="5" t="s">
        <v>1191</v>
      </c>
      <c r="P74" s="14"/>
    </row>
    <row r="75" spans="1:16">
      <c r="A75" s="40" t="s">
        <v>249</v>
      </c>
      <c r="B75" s="5" t="s">
        <v>128</v>
      </c>
      <c r="C75" s="5" t="s">
        <v>46</v>
      </c>
      <c r="D75" s="5"/>
      <c r="E75" s="5"/>
      <c r="F75" s="14" t="str">
        <f>F30</f>
        <v>[5.0,15.0]</v>
      </c>
      <c r="G75" s="14" t="str">
        <f>G30</f>
        <v>valtin1995renal</v>
      </c>
      <c r="H75" s="4"/>
      <c r="I75" s="5" t="s">
        <v>49</v>
      </c>
      <c r="J75" s="4"/>
      <c r="K75" s="4"/>
      <c r="L75" s="4"/>
      <c r="M75" s="5" t="s">
        <v>240</v>
      </c>
      <c r="N75" s="5" t="s">
        <v>71</v>
      </c>
      <c r="O75" s="5" t="s">
        <v>1191</v>
      </c>
      <c r="P75" s="14"/>
    </row>
    <row r="76" spans="1:16">
      <c r="A76" s="40" t="s">
        <v>250</v>
      </c>
      <c r="B76" s="5" t="s">
        <v>66</v>
      </c>
      <c r="C76" s="5" t="s">
        <v>46</v>
      </c>
      <c r="D76" s="5"/>
      <c r="E76" s="5"/>
      <c r="F76" s="14" t="s">
        <v>251</v>
      </c>
      <c r="G76" s="14" t="s">
        <v>91</v>
      </c>
      <c r="H76" s="4"/>
      <c r="I76" s="5" t="s">
        <v>49</v>
      </c>
      <c r="J76" s="4"/>
      <c r="K76" s="4"/>
      <c r="L76" s="4"/>
      <c r="M76" s="5" t="s">
        <v>240</v>
      </c>
      <c r="N76" s="5" t="s">
        <v>71</v>
      </c>
      <c r="O76" s="5" t="s">
        <v>1191</v>
      </c>
      <c r="P76" s="14"/>
    </row>
    <row r="77" spans="1:16">
      <c r="A77" s="40" t="s">
        <v>252</v>
      </c>
      <c r="B77" s="4"/>
      <c r="C77" s="5" t="s">
        <v>46</v>
      </c>
      <c r="D77" s="5"/>
      <c r="E77" s="5"/>
      <c r="F77" s="14"/>
      <c r="G77" s="4"/>
      <c r="H77" s="4"/>
      <c r="I77" s="5" t="s">
        <v>49</v>
      </c>
      <c r="J77" s="4"/>
      <c r="K77" s="4"/>
      <c r="L77" s="4"/>
      <c r="M77" s="5" t="s">
        <v>240</v>
      </c>
      <c r="N77" s="5" t="s">
        <v>71</v>
      </c>
      <c r="O77" s="5" t="s">
        <v>1191</v>
      </c>
      <c r="P77" s="14"/>
    </row>
    <row r="78" spans="1:16">
      <c r="A78" s="40" t="s">
        <v>253</v>
      </c>
      <c r="B78" s="18" t="s">
        <v>89</v>
      </c>
      <c r="C78" s="5" t="s">
        <v>46</v>
      </c>
      <c r="D78" s="5"/>
      <c r="E78" s="5"/>
      <c r="F78" s="14" t="s">
        <v>254</v>
      </c>
      <c r="G78" s="14" t="str">
        <f>G38</f>
        <v>Leeuwen2015laboratory,
valtin1995renal</v>
      </c>
      <c r="H78" s="4"/>
      <c r="I78" s="5" t="s">
        <v>49</v>
      </c>
      <c r="J78" s="4"/>
      <c r="K78" s="4"/>
      <c r="L78" s="4"/>
      <c r="M78" s="5" t="s">
        <v>240</v>
      </c>
      <c r="N78" s="5" t="s">
        <v>71</v>
      </c>
      <c r="O78" s="5" t="s">
        <v>1191</v>
      </c>
      <c r="P78" s="14"/>
    </row>
    <row r="79" spans="1:16">
      <c r="A79" s="40" t="s">
        <v>255</v>
      </c>
      <c r="B79" s="4"/>
      <c r="C79" s="5" t="s">
        <v>46</v>
      </c>
      <c r="D79" s="5"/>
      <c r="E79" s="5"/>
      <c r="F79" s="14"/>
      <c r="G79" s="4"/>
      <c r="H79" s="4"/>
      <c r="I79" s="5" t="s">
        <v>49</v>
      </c>
      <c r="J79" s="4"/>
      <c r="K79" s="4"/>
      <c r="L79" s="4"/>
      <c r="M79" s="5" t="s">
        <v>240</v>
      </c>
      <c r="N79" s="5" t="s">
        <v>71</v>
      </c>
      <c r="O79" s="5" t="s">
        <v>1191</v>
      </c>
      <c r="P79" s="14"/>
    </row>
    <row r="80" spans="1:16">
      <c r="A80" s="40" t="s">
        <v>256</v>
      </c>
      <c r="B80" s="18" t="s">
        <v>110</v>
      </c>
      <c r="C80" s="5" t="s">
        <v>46</v>
      </c>
      <c r="D80" s="5"/>
      <c r="E80" s="5"/>
      <c r="F80" s="14" t="str">
        <f>F20</f>
        <v>[6,8]</v>
      </c>
      <c r="G80" s="14" t="str">
        <f>G20</f>
        <v>valtin1995renal</v>
      </c>
      <c r="H80" s="4"/>
      <c r="I80" s="5" t="s">
        <v>49</v>
      </c>
      <c r="J80" s="14"/>
      <c r="K80" s="4"/>
      <c r="L80" s="4"/>
      <c r="M80" s="5" t="s">
        <v>240</v>
      </c>
      <c r="N80" s="5" t="s">
        <v>71</v>
      </c>
      <c r="O80" s="5" t="s">
        <v>1191</v>
      </c>
      <c r="P80" s="14"/>
    </row>
    <row r="81" spans="15:15">
      <c r="O81" s="45"/>
    </row>
  </sheetData>
  <hyperlinks>
    <hyperlink ref="L13" r:id="rId1" xr:uid="{00000000-0004-0000-0100-000000000000}"/>
    <hyperlink ref="L34" r:id="rId2" xr:uid="{00000000-0004-0000-0100-000001000000}"/>
    <hyperlink ref="L41" r:id="rId3" xr:uid="{00000000-0004-0000-0100-000002000000}"/>
    <hyperlink ref="K60" r:id="rId4" xr:uid="{00000000-0004-0000-0100-000003000000}"/>
    <hyperlink ref="O52" r:id="rId5" xr:uid="{77CFD383-FFBB-43C3-9719-6C8925AAAF78}"/>
    <hyperlink ref="O53" r:id="rId6" xr:uid="{FC8D543E-EB3E-4309-9928-49CA2DE8AE52}"/>
    <hyperlink ref="O54" r:id="rId7" xr:uid="{DBD15686-F216-4EDA-9421-9DE799BC92F4}"/>
    <hyperlink ref="O55" r:id="rId8" xr:uid="{8D9A9D3D-AD62-4201-ACA3-FDDCAEB5E9FC}"/>
    <hyperlink ref="O56" r:id="rId9" xr:uid="{0042DED4-84E3-45EF-B81A-33C49E246FFA}"/>
    <hyperlink ref="O58" r:id="rId10" xr:uid="{20112368-58A2-4555-8B18-514CF165C0FC}"/>
    <hyperlink ref="O59:O65" r:id="rId11" display="CBC@120s" xr:uid="{20D8E90A-E850-443A-BB57-0CD158AC0414}"/>
    <hyperlink ref="O67" r:id="rId12" xr:uid="{0318CE1E-6F08-4524-A904-03D995DB5DB1}"/>
    <hyperlink ref="O68:O80" r:id="rId13" display="CMP@120s" xr:uid="{C869CBFA-5948-401B-822D-A99AAEA40075}"/>
  </hyperlink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H112"/>
  <sheetViews>
    <sheetView topLeftCell="A67" zoomScaleNormal="100" workbookViewId="0">
      <pane xSplit="1" topLeftCell="B1" activePane="topRight" state="frozen"/>
      <selection pane="topRight" activeCell="G61" sqref="G61"/>
    </sheetView>
  </sheetViews>
  <sheetFormatPr defaultColWidth="9.140625" defaultRowHeight="15"/>
  <cols>
    <col min="1" max="1" width="38.5703125" style="1" customWidth="1"/>
    <col min="2" max="2" width="9.85546875" style="2" customWidth="1"/>
    <col min="3" max="5" width="16.85546875" style="2" customWidth="1"/>
    <col min="6" max="6" width="17.5703125" style="2" customWidth="1"/>
    <col min="7" max="7" width="29" style="46" customWidth="1"/>
    <col min="8" max="8" width="12" style="46" customWidth="1"/>
    <col min="9" max="9" width="11.42578125" style="46" customWidth="1"/>
    <col min="10" max="10" width="32.7109375" style="2" customWidth="1"/>
    <col min="11" max="11" width="36.28515625" style="47" customWidth="1"/>
    <col min="12" max="12" width="29.5703125" style="1" customWidth="1"/>
    <col min="13" max="13" width="27.5703125" style="2" customWidth="1"/>
    <col min="14" max="14" width="13.7109375" style="2" customWidth="1"/>
    <col min="15" max="15" width="16.42578125" style="1" customWidth="1"/>
    <col min="16" max="16" width="10.5703125" style="1" customWidth="1"/>
    <col min="17" max="1022" width="9.140625" style="1"/>
  </cols>
  <sheetData>
    <row r="1" spans="1:16" ht="24">
      <c r="A1" s="3" t="s">
        <v>30</v>
      </c>
      <c r="B1" s="9" t="s">
        <v>1</v>
      </c>
      <c r="C1" s="9" t="s">
        <v>31</v>
      </c>
      <c r="D1" s="9" t="s">
        <v>32</v>
      </c>
      <c r="E1" s="9" t="s">
        <v>33</v>
      </c>
      <c r="F1" s="9" t="s">
        <v>34</v>
      </c>
      <c r="G1" s="9" t="s">
        <v>3</v>
      </c>
      <c r="H1" s="9" t="s">
        <v>35</v>
      </c>
      <c r="I1" s="9" t="s">
        <v>36</v>
      </c>
      <c r="J1" s="9" t="s">
        <v>37</v>
      </c>
      <c r="K1" s="9" t="s">
        <v>38</v>
      </c>
      <c r="L1" s="29" t="s">
        <v>39</v>
      </c>
      <c r="M1" s="9" t="s">
        <v>40</v>
      </c>
      <c r="N1" s="9" t="s">
        <v>41</v>
      </c>
      <c r="O1" s="9" t="s">
        <v>42</v>
      </c>
      <c r="P1" s="9" t="s">
        <v>43</v>
      </c>
    </row>
    <row r="2" spans="1:16" ht="24">
      <c r="A2" s="48" t="s">
        <v>257</v>
      </c>
      <c r="B2" s="8"/>
      <c r="C2" s="8"/>
      <c r="D2" s="8"/>
      <c r="E2" s="8"/>
      <c r="F2" s="8"/>
      <c r="G2" s="8"/>
      <c r="H2" s="8"/>
      <c r="I2" s="8"/>
      <c r="J2" s="26" t="s">
        <v>258</v>
      </c>
      <c r="K2" s="25"/>
      <c r="L2" s="49"/>
      <c r="M2" s="5" t="s">
        <v>259</v>
      </c>
      <c r="N2" s="5"/>
      <c r="O2" s="14" t="s">
        <v>52</v>
      </c>
      <c r="P2" s="14">
        <v>2</v>
      </c>
    </row>
    <row r="3" spans="1:16" ht="36.75" customHeight="1">
      <c r="A3" s="10" t="s">
        <v>16</v>
      </c>
      <c r="B3" s="8" t="s">
        <v>17</v>
      </c>
      <c r="C3" s="8" t="s">
        <v>46</v>
      </c>
      <c r="D3" s="8"/>
      <c r="E3" s="8"/>
      <c r="F3" s="23">
        <f>Patient!$C$7</f>
        <v>5509.6546665792184</v>
      </c>
      <c r="G3" s="8" t="s">
        <v>15</v>
      </c>
      <c r="H3" s="8" t="s">
        <v>260</v>
      </c>
      <c r="I3" s="8" t="s">
        <v>49</v>
      </c>
      <c r="J3" s="5"/>
      <c r="K3" s="8" t="s">
        <v>261</v>
      </c>
      <c r="L3" s="49"/>
      <c r="M3" s="5" t="s">
        <v>259</v>
      </c>
      <c r="N3" s="5" t="s">
        <v>57</v>
      </c>
      <c r="O3" s="14" t="s">
        <v>52</v>
      </c>
      <c r="P3" s="14"/>
    </row>
    <row r="4" spans="1:16" ht="36.75" customHeight="1">
      <c r="A4" s="10" t="s">
        <v>18</v>
      </c>
      <c r="B4" s="8" t="s">
        <v>262</v>
      </c>
      <c r="C4" s="8" t="s">
        <v>46</v>
      </c>
      <c r="D4" s="8"/>
      <c r="E4" s="8"/>
      <c r="F4" s="50">
        <f>Patient!$C$8</f>
        <v>2.9991033145287878</v>
      </c>
      <c r="G4" s="8" t="s">
        <v>15</v>
      </c>
      <c r="H4" s="8" t="s">
        <v>263</v>
      </c>
      <c r="I4" s="8" t="s">
        <v>49</v>
      </c>
      <c r="J4" s="26" t="s">
        <v>264</v>
      </c>
      <c r="K4" s="8"/>
      <c r="L4" s="49"/>
      <c r="M4" s="5" t="s">
        <v>259</v>
      </c>
      <c r="N4" s="5" t="s">
        <v>71</v>
      </c>
      <c r="O4" s="14" t="s">
        <v>52</v>
      </c>
      <c r="P4" s="14">
        <v>1</v>
      </c>
    </row>
    <row r="5" spans="1:16" ht="45.75" customHeight="1">
      <c r="A5" s="10" t="s">
        <v>13</v>
      </c>
      <c r="B5" s="8" t="s">
        <v>14</v>
      </c>
      <c r="C5" s="8" t="s">
        <v>46</v>
      </c>
      <c r="D5" s="8"/>
      <c r="E5" s="8"/>
      <c r="F5" s="23">
        <f>Patient!$C$6</f>
        <v>5600</v>
      </c>
      <c r="G5" s="8" t="s">
        <v>15</v>
      </c>
      <c r="H5" s="8" t="s">
        <v>263</v>
      </c>
      <c r="I5" s="8" t="s">
        <v>49</v>
      </c>
      <c r="J5" s="5"/>
      <c r="K5" s="8"/>
      <c r="L5" s="49"/>
      <c r="M5" s="5" t="s">
        <v>259</v>
      </c>
      <c r="N5" s="5" t="s">
        <v>57</v>
      </c>
      <c r="O5" s="14" t="s">
        <v>52</v>
      </c>
      <c r="P5" s="14"/>
    </row>
    <row r="6" spans="1:16" ht="60">
      <c r="A6" s="48" t="s">
        <v>265</v>
      </c>
      <c r="B6" s="17" t="s">
        <v>200</v>
      </c>
      <c r="C6" s="8" t="s">
        <v>46</v>
      </c>
      <c r="D6" s="8"/>
      <c r="E6" s="8"/>
      <c r="F6" s="20" t="s">
        <v>266</v>
      </c>
      <c r="G6" s="17" t="s">
        <v>91</v>
      </c>
      <c r="H6" s="8" t="s">
        <v>267</v>
      </c>
      <c r="I6" s="8"/>
      <c r="J6" s="26" t="s">
        <v>258</v>
      </c>
      <c r="K6" s="17" t="s">
        <v>268</v>
      </c>
      <c r="L6" s="49"/>
      <c r="M6" s="5" t="s">
        <v>259</v>
      </c>
      <c r="N6" s="5"/>
      <c r="O6" s="14" t="s">
        <v>52</v>
      </c>
      <c r="P6" s="14">
        <v>3</v>
      </c>
    </row>
    <row r="7" spans="1:16">
      <c r="A7" s="10" t="s">
        <v>269</v>
      </c>
      <c r="B7" s="8" t="s">
        <v>14</v>
      </c>
      <c r="C7" s="8" t="s">
        <v>46</v>
      </c>
      <c r="D7" s="8"/>
      <c r="E7" s="8"/>
      <c r="F7" s="20">
        <f>F43*60</f>
        <v>672</v>
      </c>
      <c r="G7" s="17" t="s">
        <v>270</v>
      </c>
      <c r="H7" s="8"/>
      <c r="I7" s="8" t="s">
        <v>49</v>
      </c>
      <c r="J7" s="26"/>
      <c r="K7" s="17"/>
      <c r="L7" s="49"/>
      <c r="M7" s="5" t="s">
        <v>259</v>
      </c>
      <c r="N7" s="5" t="s">
        <v>57</v>
      </c>
      <c r="O7" s="14" t="s">
        <v>52</v>
      </c>
      <c r="P7" s="14">
        <v>1</v>
      </c>
    </row>
    <row r="8" spans="1:16">
      <c r="A8" s="10" t="s">
        <v>271</v>
      </c>
      <c r="B8" s="17" t="s">
        <v>200</v>
      </c>
      <c r="C8" s="8" t="s">
        <v>46</v>
      </c>
      <c r="D8" s="8"/>
      <c r="E8" s="8"/>
      <c r="F8" s="20" t="s">
        <v>272</v>
      </c>
      <c r="G8" s="17" t="s">
        <v>273</v>
      </c>
      <c r="H8" s="8"/>
      <c r="I8" s="8" t="s">
        <v>49</v>
      </c>
      <c r="J8" s="26"/>
      <c r="K8" s="17"/>
      <c r="L8" s="49"/>
      <c r="M8" s="5" t="s">
        <v>259</v>
      </c>
      <c r="N8" s="5" t="s">
        <v>71</v>
      </c>
      <c r="O8" s="14" t="s">
        <v>52</v>
      </c>
      <c r="P8" s="14">
        <v>2</v>
      </c>
    </row>
    <row r="9" spans="1:16">
      <c r="A9" s="10" t="s">
        <v>274</v>
      </c>
      <c r="B9" s="17" t="s">
        <v>200</v>
      </c>
      <c r="C9" s="8" t="s">
        <v>46</v>
      </c>
      <c r="D9" s="8"/>
      <c r="E9" s="8"/>
      <c r="F9" s="20" t="s">
        <v>275</v>
      </c>
      <c r="G9" s="17" t="s">
        <v>276</v>
      </c>
      <c r="H9" s="8"/>
      <c r="I9" s="8" t="s">
        <v>49</v>
      </c>
      <c r="J9" s="26"/>
      <c r="K9" s="17"/>
      <c r="L9" s="49"/>
      <c r="M9" s="5" t="s">
        <v>259</v>
      </c>
      <c r="N9" s="5"/>
      <c r="O9" s="14" t="s">
        <v>52</v>
      </c>
      <c r="P9" s="14">
        <v>2</v>
      </c>
    </row>
    <row r="10" spans="1:16" ht="45.75" customHeight="1">
      <c r="A10" s="10" t="s">
        <v>277</v>
      </c>
      <c r="B10" s="8" t="s">
        <v>200</v>
      </c>
      <c r="C10" s="8" t="s">
        <v>46</v>
      </c>
      <c r="D10" s="8"/>
      <c r="E10" s="8"/>
      <c r="F10" s="20" t="s">
        <v>278</v>
      </c>
      <c r="G10" s="17" t="s">
        <v>91</v>
      </c>
      <c r="H10" s="8" t="s">
        <v>267</v>
      </c>
      <c r="I10" s="8" t="s">
        <v>49</v>
      </c>
      <c r="J10" s="8"/>
      <c r="K10" s="8" t="s">
        <v>279</v>
      </c>
      <c r="L10" s="49"/>
      <c r="M10" s="5" t="s">
        <v>259</v>
      </c>
      <c r="N10" s="5" t="s">
        <v>71</v>
      </c>
      <c r="O10" s="14" t="s">
        <v>52</v>
      </c>
      <c r="P10" s="14">
        <v>2</v>
      </c>
    </row>
    <row r="11" spans="1:16" ht="45.75" customHeight="1">
      <c r="A11" s="10" t="s">
        <v>280</v>
      </c>
      <c r="B11" s="8" t="s">
        <v>200</v>
      </c>
      <c r="C11" s="8" t="s">
        <v>46</v>
      </c>
      <c r="D11" s="8"/>
      <c r="E11" s="8"/>
      <c r="F11" s="8" t="s">
        <v>281</v>
      </c>
      <c r="G11" s="17" t="s">
        <v>282</v>
      </c>
      <c r="H11" s="8"/>
      <c r="I11" s="8" t="s">
        <v>49</v>
      </c>
      <c r="J11" s="8"/>
      <c r="K11" s="8"/>
      <c r="L11" s="49"/>
      <c r="M11" s="5" t="s">
        <v>259</v>
      </c>
      <c r="N11" s="5" t="s">
        <v>71</v>
      </c>
      <c r="O11" s="14" t="s">
        <v>52</v>
      </c>
      <c r="P11" s="14">
        <v>2</v>
      </c>
    </row>
    <row r="12" spans="1:16" ht="45.75" customHeight="1">
      <c r="A12" s="10" t="s">
        <v>283</v>
      </c>
      <c r="B12" s="8" t="s">
        <v>200</v>
      </c>
      <c r="C12" s="8" t="s">
        <v>46</v>
      </c>
      <c r="D12" s="8"/>
      <c r="E12" s="8"/>
      <c r="F12" s="8" t="s">
        <v>284</v>
      </c>
      <c r="G12" s="17" t="s">
        <v>282</v>
      </c>
      <c r="H12" s="17"/>
      <c r="I12" s="8" t="s">
        <v>49</v>
      </c>
      <c r="J12" s="51"/>
      <c r="K12" s="25" t="s">
        <v>285</v>
      </c>
      <c r="L12" s="49"/>
      <c r="M12" s="5" t="s">
        <v>259</v>
      </c>
      <c r="N12" s="5" t="s">
        <v>71</v>
      </c>
      <c r="O12" s="14" t="s">
        <v>52</v>
      </c>
      <c r="P12" s="14">
        <v>2</v>
      </c>
    </row>
    <row r="13" spans="1:16" ht="27.75" customHeight="1">
      <c r="A13" s="10" t="s">
        <v>286</v>
      </c>
      <c r="B13" s="8"/>
      <c r="C13" s="8" t="s">
        <v>46</v>
      </c>
      <c r="D13" s="8"/>
      <c r="E13" s="8"/>
      <c r="F13" s="20">
        <v>0.55000000000000004</v>
      </c>
      <c r="G13" s="8" t="s">
        <v>15</v>
      </c>
      <c r="H13" s="26"/>
      <c r="I13" s="8" t="s">
        <v>49</v>
      </c>
      <c r="J13" s="8"/>
      <c r="K13" s="8" t="s">
        <v>287</v>
      </c>
      <c r="L13" s="49"/>
      <c r="M13" s="5" t="s">
        <v>259</v>
      </c>
      <c r="N13" s="5" t="s">
        <v>51</v>
      </c>
      <c r="O13" s="14" t="s">
        <v>52</v>
      </c>
      <c r="P13" s="14">
        <v>5</v>
      </c>
    </row>
    <row r="14" spans="1:16" ht="74.25" customHeight="1">
      <c r="A14" s="10" t="s">
        <v>288</v>
      </c>
      <c r="B14" s="8" t="s">
        <v>289</v>
      </c>
      <c r="C14" s="8" t="s">
        <v>46</v>
      </c>
      <c r="D14" s="8"/>
      <c r="E14" s="8"/>
      <c r="F14" s="20" t="s">
        <v>290</v>
      </c>
      <c r="G14" s="8" t="s">
        <v>291</v>
      </c>
      <c r="H14" s="8"/>
      <c r="I14" s="8" t="s">
        <v>49</v>
      </c>
      <c r="K14" s="8"/>
      <c r="L14" s="49"/>
      <c r="M14" s="5" t="s">
        <v>259</v>
      </c>
      <c r="N14" s="5" t="s">
        <v>57</v>
      </c>
      <c r="O14" s="14" t="s">
        <v>52</v>
      </c>
      <c r="P14" s="14">
        <v>2</v>
      </c>
    </row>
    <row r="15" spans="1:16">
      <c r="A15" s="48" t="s">
        <v>292</v>
      </c>
      <c r="B15" s="8"/>
      <c r="C15" s="8"/>
      <c r="D15" s="8"/>
      <c r="E15" s="8"/>
      <c r="F15" s="8"/>
      <c r="G15" s="8"/>
      <c r="H15" s="8"/>
      <c r="I15" s="8"/>
      <c r="J15" s="8" t="s">
        <v>293</v>
      </c>
      <c r="K15" s="8"/>
      <c r="L15" s="49"/>
      <c r="M15" s="5" t="s">
        <v>259</v>
      </c>
      <c r="N15" s="5"/>
      <c r="O15" s="14"/>
      <c r="P15" s="14"/>
    </row>
    <row r="16" spans="1:16" ht="65.25" customHeight="1">
      <c r="A16" s="10" t="s">
        <v>294</v>
      </c>
      <c r="B16" s="8" t="s">
        <v>17</v>
      </c>
      <c r="C16" s="8" t="s">
        <v>46</v>
      </c>
      <c r="D16" s="8"/>
      <c r="E16" s="8"/>
      <c r="F16" s="8" t="s">
        <v>295</v>
      </c>
      <c r="G16" s="46" t="s">
        <v>296</v>
      </c>
      <c r="H16" s="8"/>
      <c r="I16" s="8" t="s">
        <v>49</v>
      </c>
      <c r="J16" s="8"/>
      <c r="K16" s="8" t="s">
        <v>297</v>
      </c>
      <c r="L16" s="49"/>
      <c r="M16" s="5" t="s">
        <v>259</v>
      </c>
      <c r="N16" s="5" t="s">
        <v>71</v>
      </c>
      <c r="O16" s="14" t="s">
        <v>52</v>
      </c>
      <c r="P16" s="14">
        <v>3</v>
      </c>
    </row>
    <row r="17" spans="1:16">
      <c r="A17" s="10" t="s">
        <v>298</v>
      </c>
      <c r="B17" s="17" t="s">
        <v>200</v>
      </c>
      <c r="C17" s="8" t="s">
        <v>46</v>
      </c>
      <c r="D17" s="8"/>
      <c r="E17" s="8"/>
      <c r="F17" s="20" t="s">
        <v>299</v>
      </c>
      <c r="G17" s="17" t="s">
        <v>300</v>
      </c>
      <c r="H17" s="8"/>
      <c r="I17" s="8" t="s">
        <v>49</v>
      </c>
      <c r="J17" s="26" t="s">
        <v>301</v>
      </c>
      <c r="K17" s="17"/>
      <c r="L17" s="49"/>
      <c r="M17" s="5" t="s">
        <v>259</v>
      </c>
      <c r="N17" s="5" t="s">
        <v>71</v>
      </c>
      <c r="O17" s="14" t="s">
        <v>52</v>
      </c>
      <c r="P17" s="14">
        <v>2</v>
      </c>
    </row>
    <row r="18" spans="1:16" ht="40.5" customHeight="1">
      <c r="A18" s="10" t="s">
        <v>302</v>
      </c>
      <c r="B18" s="8" t="s">
        <v>200</v>
      </c>
      <c r="C18" s="8" t="s">
        <v>46</v>
      </c>
      <c r="D18" s="8"/>
      <c r="E18" s="8"/>
      <c r="F18" s="8" t="s">
        <v>303</v>
      </c>
      <c r="G18" s="17" t="s">
        <v>91</v>
      </c>
      <c r="H18" s="8" t="s">
        <v>267</v>
      </c>
      <c r="I18" s="8" t="s">
        <v>49</v>
      </c>
      <c r="J18" s="8"/>
      <c r="K18" s="8" t="s">
        <v>279</v>
      </c>
      <c r="L18" s="49"/>
      <c r="M18" s="5" t="s">
        <v>259</v>
      </c>
      <c r="N18" s="5" t="s">
        <v>71</v>
      </c>
      <c r="O18" s="14" t="s">
        <v>52</v>
      </c>
      <c r="P18" s="14">
        <v>2</v>
      </c>
    </row>
    <row r="19" spans="1:16">
      <c r="A19" s="48" t="s">
        <v>304</v>
      </c>
      <c r="B19" s="8"/>
      <c r="C19" s="8"/>
      <c r="D19" s="8"/>
      <c r="E19" s="8"/>
      <c r="F19" s="8"/>
      <c r="G19" s="8"/>
      <c r="H19" s="8"/>
      <c r="I19" s="8"/>
      <c r="J19" s="8" t="s">
        <v>305</v>
      </c>
      <c r="K19" s="8"/>
      <c r="L19" s="49"/>
      <c r="M19" s="5" t="s">
        <v>259</v>
      </c>
      <c r="N19" s="5"/>
      <c r="O19" s="14" t="s">
        <v>52</v>
      </c>
      <c r="P19" s="14"/>
    </row>
    <row r="20" spans="1:16">
      <c r="A20" s="48" t="s">
        <v>306</v>
      </c>
      <c r="B20" s="8"/>
      <c r="C20" s="8"/>
      <c r="D20" s="8"/>
      <c r="E20" s="8"/>
      <c r="F20" s="8"/>
      <c r="G20" s="8"/>
      <c r="H20" s="8"/>
      <c r="I20" s="8"/>
      <c r="J20" s="8" t="s">
        <v>305</v>
      </c>
      <c r="K20" s="8"/>
      <c r="L20" s="49"/>
      <c r="M20" s="5" t="s">
        <v>259</v>
      </c>
      <c r="N20" s="5"/>
      <c r="O20" s="14" t="s">
        <v>52</v>
      </c>
      <c r="P20" s="14">
        <v>3</v>
      </c>
    </row>
    <row r="21" spans="1:16" ht="60">
      <c r="A21" s="10" t="s">
        <v>307</v>
      </c>
      <c r="B21" s="17" t="s">
        <v>200</v>
      </c>
      <c r="C21" s="8" t="s">
        <v>46</v>
      </c>
      <c r="D21" s="8"/>
      <c r="E21" s="8"/>
      <c r="F21" s="20" t="s">
        <v>266</v>
      </c>
      <c r="G21" s="17" t="s">
        <v>91</v>
      </c>
      <c r="H21" s="8" t="s">
        <v>267</v>
      </c>
      <c r="I21" s="8" t="s">
        <v>49</v>
      </c>
      <c r="J21" s="8"/>
      <c r="K21" s="17" t="s">
        <v>268</v>
      </c>
      <c r="L21" s="49"/>
      <c r="M21" s="5" t="s">
        <v>259</v>
      </c>
      <c r="N21" s="5" t="s">
        <v>71</v>
      </c>
      <c r="O21" s="14" t="s">
        <v>52</v>
      </c>
      <c r="P21" s="14">
        <v>1</v>
      </c>
    </row>
    <row r="22" spans="1:16" s="1" customFormat="1" ht="24">
      <c r="A22" s="10" t="s">
        <v>308</v>
      </c>
      <c r="B22" s="8" t="s">
        <v>309</v>
      </c>
      <c r="C22" s="8" t="s">
        <v>46</v>
      </c>
      <c r="D22" s="8"/>
      <c r="E22" s="8"/>
      <c r="F22" s="52">
        <f>F104</f>
        <v>4.666666666666667</v>
      </c>
      <c r="G22" s="8" t="s">
        <v>270</v>
      </c>
      <c r="H22" s="8"/>
      <c r="I22" s="8" t="s">
        <v>49</v>
      </c>
      <c r="K22" s="8" t="s">
        <v>310</v>
      </c>
      <c r="L22" s="49"/>
      <c r="M22" s="5" t="s">
        <v>259</v>
      </c>
      <c r="N22" s="5" t="s">
        <v>71</v>
      </c>
      <c r="O22" s="14" t="s">
        <v>52</v>
      </c>
      <c r="P22" s="14"/>
    </row>
    <row r="23" spans="1:16" s="1" customFormat="1" ht="12">
      <c r="A23" s="10" t="s">
        <v>311</v>
      </c>
      <c r="B23" s="8"/>
      <c r="C23" s="8" t="s">
        <v>46</v>
      </c>
      <c r="D23" s="8"/>
      <c r="E23" s="8"/>
      <c r="F23" s="52" t="s">
        <v>312</v>
      </c>
      <c r="G23" s="8" t="s">
        <v>313</v>
      </c>
      <c r="H23" s="8"/>
      <c r="I23" s="8" t="s">
        <v>49</v>
      </c>
      <c r="J23" s="4"/>
      <c r="K23" s="8"/>
      <c r="L23" s="49"/>
      <c r="M23" s="5" t="s">
        <v>259</v>
      </c>
      <c r="N23" s="5" t="s">
        <v>140</v>
      </c>
      <c r="O23" s="14" t="s">
        <v>52</v>
      </c>
      <c r="P23" s="14">
        <v>3</v>
      </c>
    </row>
    <row r="24" spans="1:16" ht="24">
      <c r="A24" s="48" t="s">
        <v>314</v>
      </c>
      <c r="B24" s="8"/>
      <c r="C24" s="8"/>
      <c r="D24" s="8"/>
      <c r="E24" s="8"/>
      <c r="F24" s="8"/>
      <c r="G24" s="8"/>
      <c r="H24" s="8"/>
      <c r="I24" s="8"/>
      <c r="J24" s="26" t="s">
        <v>258</v>
      </c>
      <c r="K24" s="8"/>
      <c r="L24" s="49"/>
      <c r="M24" s="5" t="s">
        <v>259</v>
      </c>
      <c r="N24" s="5"/>
      <c r="O24" s="14" t="s">
        <v>52</v>
      </c>
      <c r="P24" s="14"/>
    </row>
    <row r="25" spans="1:16" ht="41.25" customHeight="1">
      <c r="A25" s="10" t="s">
        <v>315</v>
      </c>
      <c r="B25" s="17" t="s">
        <v>200</v>
      </c>
      <c r="C25" s="8" t="s">
        <v>46</v>
      </c>
      <c r="D25" s="8"/>
      <c r="E25" s="8"/>
      <c r="F25" s="17" t="s">
        <v>281</v>
      </c>
      <c r="G25" s="17" t="s">
        <v>91</v>
      </c>
      <c r="H25" s="17" t="s">
        <v>267</v>
      </c>
      <c r="I25" s="8" t="s">
        <v>49</v>
      </c>
      <c r="J25" s="17"/>
      <c r="K25" s="17" t="s">
        <v>316</v>
      </c>
      <c r="L25" s="49"/>
      <c r="M25" s="5" t="s">
        <v>259</v>
      </c>
      <c r="N25" s="5" t="s">
        <v>71</v>
      </c>
      <c r="O25" s="14" t="s">
        <v>52</v>
      </c>
      <c r="P25" s="14">
        <v>2</v>
      </c>
    </row>
    <row r="26" spans="1:16" ht="24">
      <c r="A26" s="10" t="s">
        <v>317</v>
      </c>
      <c r="B26" s="8" t="s">
        <v>200</v>
      </c>
      <c r="C26" s="8" t="s">
        <v>46</v>
      </c>
      <c r="D26" s="8"/>
      <c r="E26" s="8"/>
      <c r="F26" s="8" t="s">
        <v>318</v>
      </c>
      <c r="G26" s="17" t="s">
        <v>319</v>
      </c>
      <c r="H26" s="8" t="s">
        <v>320</v>
      </c>
      <c r="I26" s="8" t="s">
        <v>49</v>
      </c>
      <c r="J26" s="8"/>
      <c r="K26" s="8" t="s">
        <v>279</v>
      </c>
      <c r="L26" s="49"/>
      <c r="M26" s="5" t="s">
        <v>259</v>
      </c>
      <c r="N26" s="5" t="s">
        <v>71</v>
      </c>
      <c r="O26" s="14" t="s">
        <v>52</v>
      </c>
      <c r="P26" s="14"/>
    </row>
    <row r="27" spans="1:16">
      <c r="A27" s="10" t="s">
        <v>321</v>
      </c>
      <c r="B27" s="8" t="s">
        <v>200</v>
      </c>
      <c r="C27" s="8" t="s">
        <v>46</v>
      </c>
      <c r="D27" s="8"/>
      <c r="E27" s="8"/>
      <c r="F27" s="8" t="s">
        <v>322</v>
      </c>
      <c r="G27" s="8" t="s">
        <v>282</v>
      </c>
      <c r="H27" s="8"/>
      <c r="I27" s="8" t="s">
        <v>49</v>
      </c>
      <c r="J27" s="8"/>
      <c r="K27" s="8"/>
      <c r="L27" s="49"/>
      <c r="M27" s="5" t="s">
        <v>259</v>
      </c>
      <c r="N27" s="5" t="s">
        <v>71</v>
      </c>
      <c r="O27" s="14" t="s">
        <v>52</v>
      </c>
      <c r="P27" s="14"/>
    </row>
    <row r="28" spans="1:16">
      <c r="A28" s="48" t="s">
        <v>323</v>
      </c>
      <c r="B28" s="8"/>
      <c r="C28" s="8"/>
      <c r="D28" s="8"/>
      <c r="E28" s="8"/>
      <c r="F28" s="8"/>
      <c r="G28" s="8"/>
      <c r="H28" s="8"/>
      <c r="I28" s="8"/>
      <c r="J28" s="8"/>
      <c r="K28" s="8" t="s">
        <v>324</v>
      </c>
      <c r="L28" s="49"/>
      <c r="M28" s="5" t="s">
        <v>259</v>
      </c>
      <c r="N28" s="5"/>
      <c r="O28" s="14" t="s">
        <v>52</v>
      </c>
      <c r="P28" s="14"/>
    </row>
    <row r="29" spans="1:16">
      <c r="A29" s="48" t="s">
        <v>325</v>
      </c>
      <c r="B29" s="8"/>
      <c r="C29" s="8"/>
      <c r="D29" s="8"/>
      <c r="E29" s="8"/>
      <c r="F29" s="53"/>
      <c r="G29" s="8"/>
      <c r="H29" s="8"/>
      <c r="I29" s="8"/>
      <c r="J29" s="8"/>
      <c r="K29" s="8" t="s">
        <v>324</v>
      </c>
      <c r="L29" s="49"/>
      <c r="M29" s="5" t="s">
        <v>259</v>
      </c>
      <c r="N29" s="5"/>
      <c r="O29" s="14" t="s">
        <v>52</v>
      </c>
      <c r="P29" s="14"/>
    </row>
    <row r="30" spans="1:16">
      <c r="A30" s="10" t="s">
        <v>326</v>
      </c>
      <c r="B30" s="8" t="s">
        <v>200</v>
      </c>
      <c r="C30" s="8" t="s">
        <v>46</v>
      </c>
      <c r="D30" s="8"/>
      <c r="E30" s="8"/>
      <c r="F30" s="8" t="s">
        <v>327</v>
      </c>
      <c r="G30" s="17" t="s">
        <v>91</v>
      </c>
      <c r="H30" s="8" t="s">
        <v>267</v>
      </c>
      <c r="I30" s="8" t="s">
        <v>49</v>
      </c>
      <c r="J30" s="8"/>
      <c r="K30" s="8" t="s">
        <v>279</v>
      </c>
      <c r="L30" s="49"/>
      <c r="M30" s="5" t="s">
        <v>259</v>
      </c>
      <c r="N30" s="5" t="s">
        <v>71</v>
      </c>
      <c r="O30" s="14" t="s">
        <v>52</v>
      </c>
      <c r="P30" s="14"/>
    </row>
    <row r="31" spans="1:16" ht="24">
      <c r="A31" s="10" t="s">
        <v>328</v>
      </c>
      <c r="B31" s="8" t="s">
        <v>329</v>
      </c>
      <c r="C31" s="8" t="s">
        <v>46</v>
      </c>
      <c r="D31" s="8"/>
      <c r="E31" s="8"/>
      <c r="F31" s="8">
        <v>0.14000000000000001</v>
      </c>
      <c r="G31" s="8" t="s">
        <v>15</v>
      </c>
      <c r="H31" s="8" t="s">
        <v>330</v>
      </c>
      <c r="I31" s="8" t="s">
        <v>49</v>
      </c>
      <c r="J31" s="8"/>
      <c r="K31" s="8"/>
      <c r="L31" s="49"/>
      <c r="M31" s="5" t="s">
        <v>259</v>
      </c>
      <c r="N31" s="5" t="s">
        <v>140</v>
      </c>
      <c r="O31" s="14" t="s">
        <v>52</v>
      </c>
      <c r="P31" s="14">
        <v>3</v>
      </c>
    </row>
    <row r="32" spans="1:16" s="1" customFormat="1" ht="36">
      <c r="A32" s="10" t="s">
        <v>331</v>
      </c>
      <c r="B32" s="8" t="s">
        <v>332</v>
      </c>
      <c r="C32" s="8" t="s">
        <v>46</v>
      </c>
      <c r="D32" s="8"/>
      <c r="E32" s="8"/>
      <c r="F32" s="8">
        <v>0.24</v>
      </c>
      <c r="G32" s="8" t="s">
        <v>15</v>
      </c>
      <c r="H32" s="8" t="s">
        <v>333</v>
      </c>
      <c r="I32" s="8" t="s">
        <v>49</v>
      </c>
      <c r="J32" s="8" t="s">
        <v>334</v>
      </c>
      <c r="L32" s="49"/>
      <c r="M32" s="5" t="s">
        <v>259</v>
      </c>
      <c r="N32" s="5" t="s">
        <v>140</v>
      </c>
      <c r="O32" s="14" t="s">
        <v>52</v>
      </c>
      <c r="P32" s="14">
        <v>3</v>
      </c>
    </row>
    <row r="33" spans="1:16" ht="24">
      <c r="A33" s="10" t="s">
        <v>335</v>
      </c>
      <c r="B33" s="8" t="s">
        <v>200</v>
      </c>
      <c r="C33" s="8" t="s">
        <v>46</v>
      </c>
      <c r="D33" s="8"/>
      <c r="E33" s="8"/>
      <c r="F33" s="8" t="s">
        <v>336</v>
      </c>
      <c r="G33" s="8" t="s">
        <v>337</v>
      </c>
      <c r="H33" s="8"/>
      <c r="I33" s="8" t="s">
        <v>49</v>
      </c>
      <c r="J33" s="8" t="s">
        <v>338</v>
      </c>
      <c r="K33" s="8" t="s">
        <v>339</v>
      </c>
      <c r="L33" s="49"/>
      <c r="M33" s="5" t="s">
        <v>259</v>
      </c>
      <c r="N33" s="5" t="s">
        <v>71</v>
      </c>
      <c r="O33" s="14" t="s">
        <v>52</v>
      </c>
      <c r="P33" s="14"/>
    </row>
    <row r="34" spans="1:16" ht="24" customHeight="1">
      <c r="A34" s="10" t="s">
        <v>340</v>
      </c>
      <c r="B34" s="8" t="s">
        <v>329</v>
      </c>
      <c r="C34" s="8" t="s">
        <v>46</v>
      </c>
      <c r="D34" s="8"/>
      <c r="E34" s="8"/>
      <c r="F34" s="52">
        <v>1</v>
      </c>
      <c r="G34" s="8" t="s">
        <v>15</v>
      </c>
      <c r="H34" s="8" t="s">
        <v>341</v>
      </c>
      <c r="I34" s="8" t="s">
        <v>49</v>
      </c>
      <c r="J34" s="8"/>
      <c r="K34" s="8" t="s">
        <v>342</v>
      </c>
      <c r="L34" s="49"/>
      <c r="M34" s="5" t="s">
        <v>259</v>
      </c>
      <c r="N34" s="5" t="s">
        <v>71</v>
      </c>
      <c r="O34" s="14" t="s">
        <v>52</v>
      </c>
      <c r="P34" s="14">
        <v>3</v>
      </c>
    </row>
    <row r="35" spans="1:16" ht="44.25" customHeight="1">
      <c r="A35" s="10" t="s">
        <v>343</v>
      </c>
      <c r="B35" s="8" t="s">
        <v>200</v>
      </c>
      <c r="C35" s="8" t="s">
        <v>46</v>
      </c>
      <c r="D35" s="8"/>
      <c r="E35" s="8"/>
      <c r="F35" s="20" t="s">
        <v>344</v>
      </c>
      <c r="G35" s="17" t="s">
        <v>91</v>
      </c>
      <c r="H35" s="8" t="s">
        <v>267</v>
      </c>
      <c r="I35" s="8" t="s">
        <v>49</v>
      </c>
      <c r="J35" s="8"/>
      <c r="K35" s="8" t="s">
        <v>279</v>
      </c>
      <c r="L35" s="49"/>
      <c r="M35" s="5" t="s">
        <v>259</v>
      </c>
      <c r="N35" s="5" t="s">
        <v>71</v>
      </c>
      <c r="O35" s="14" t="s">
        <v>52</v>
      </c>
      <c r="P35" s="14">
        <v>2</v>
      </c>
    </row>
    <row r="36" spans="1:16" ht="44.25" customHeight="1">
      <c r="A36" s="10" t="s">
        <v>345</v>
      </c>
      <c r="B36" s="8" t="s">
        <v>200</v>
      </c>
      <c r="C36" s="8" t="s">
        <v>46</v>
      </c>
      <c r="D36" s="8"/>
      <c r="E36" s="8"/>
      <c r="F36" s="8" t="s">
        <v>344</v>
      </c>
      <c r="G36" s="17" t="s">
        <v>346</v>
      </c>
      <c r="H36" s="17" t="s">
        <v>347</v>
      </c>
      <c r="I36" s="8" t="s">
        <v>49</v>
      </c>
      <c r="J36" s="51"/>
      <c r="K36" s="25" t="s">
        <v>348</v>
      </c>
      <c r="L36" s="49"/>
      <c r="M36" s="5" t="s">
        <v>259</v>
      </c>
      <c r="N36" s="5" t="s">
        <v>71</v>
      </c>
      <c r="O36" s="14" t="s">
        <v>52</v>
      </c>
      <c r="P36" s="14">
        <v>2</v>
      </c>
    </row>
    <row r="37" spans="1:16" ht="44.25" customHeight="1">
      <c r="A37" s="10" t="s">
        <v>349</v>
      </c>
      <c r="B37" s="8" t="s">
        <v>200</v>
      </c>
      <c r="C37" s="8" t="s">
        <v>46</v>
      </c>
      <c r="D37" s="8"/>
      <c r="E37" s="8"/>
      <c r="F37" s="8" t="s">
        <v>327</v>
      </c>
      <c r="G37" s="17" t="s">
        <v>282</v>
      </c>
      <c r="H37" s="8"/>
      <c r="I37" s="8" t="s">
        <v>49</v>
      </c>
      <c r="J37" s="8"/>
      <c r="K37" s="8"/>
      <c r="L37" s="49"/>
      <c r="M37" s="5" t="s">
        <v>259</v>
      </c>
      <c r="N37" s="5" t="s">
        <v>71</v>
      </c>
      <c r="O37" s="14" t="s">
        <v>52</v>
      </c>
      <c r="P37" s="14">
        <v>2</v>
      </c>
    </row>
    <row r="38" spans="1:16" ht="44.25" customHeight="1">
      <c r="A38" s="10" t="s">
        <v>350</v>
      </c>
      <c r="B38" s="8" t="s">
        <v>14</v>
      </c>
      <c r="C38" s="8" t="s">
        <v>46</v>
      </c>
      <c r="D38" s="8"/>
      <c r="E38" s="8"/>
      <c r="F38" s="22" t="s">
        <v>351</v>
      </c>
      <c r="G38" s="8" t="s">
        <v>15</v>
      </c>
      <c r="H38" s="8"/>
      <c r="I38" s="8" t="s">
        <v>49</v>
      </c>
      <c r="J38" s="8" t="s">
        <v>352</v>
      </c>
      <c r="K38" s="8"/>
      <c r="L38" s="49"/>
      <c r="M38" s="5" t="s">
        <v>259</v>
      </c>
      <c r="N38" s="5" t="s">
        <v>71</v>
      </c>
      <c r="O38" s="14" t="s">
        <v>52</v>
      </c>
      <c r="P38" s="14"/>
    </row>
    <row r="39" spans="1:16" ht="24">
      <c r="A39" s="28" t="s">
        <v>353</v>
      </c>
      <c r="B39" s="3" t="s">
        <v>1</v>
      </c>
      <c r="C39" s="9" t="s">
        <v>31</v>
      </c>
      <c r="D39" s="9" t="s">
        <v>32</v>
      </c>
      <c r="E39" s="9" t="s">
        <v>33</v>
      </c>
      <c r="F39" s="9" t="s">
        <v>124</v>
      </c>
      <c r="G39" s="29" t="s">
        <v>125</v>
      </c>
      <c r="H39" s="29" t="s">
        <v>126</v>
      </c>
      <c r="I39" s="9" t="s">
        <v>36</v>
      </c>
      <c r="J39" s="3" t="s">
        <v>37</v>
      </c>
      <c r="K39" s="3" t="s">
        <v>38</v>
      </c>
      <c r="L39" s="29" t="s">
        <v>39</v>
      </c>
      <c r="M39" s="9" t="s">
        <v>40</v>
      </c>
      <c r="N39" s="9" t="s">
        <v>41</v>
      </c>
      <c r="O39" s="9" t="s">
        <v>42</v>
      </c>
      <c r="P39" s="9" t="s">
        <v>43</v>
      </c>
    </row>
    <row r="40" spans="1:16" ht="24.75">
      <c r="A40" s="10" t="s">
        <v>354</v>
      </c>
      <c r="B40" s="17" t="s">
        <v>17</v>
      </c>
      <c r="C40" s="8" t="s">
        <v>46</v>
      </c>
      <c r="D40" s="8">
        <v>0.05</v>
      </c>
      <c r="E40" s="8">
        <v>0.05</v>
      </c>
      <c r="F40" s="52">
        <f>Patient!C7*IF(Patient!C2="Male",D40,E40)</f>
        <v>275.48273332896093</v>
      </c>
      <c r="G40" s="17" t="s">
        <v>270</v>
      </c>
      <c r="H40" s="17"/>
      <c r="I40" s="17" t="s">
        <v>49</v>
      </c>
      <c r="J40" s="51"/>
      <c r="K40" s="47" t="s">
        <v>355</v>
      </c>
      <c r="L40" s="49"/>
      <c r="M40" s="5" t="s">
        <v>356</v>
      </c>
      <c r="N40" s="5" t="s">
        <v>71</v>
      </c>
      <c r="O40" s="14" t="s">
        <v>357</v>
      </c>
      <c r="P40" s="14"/>
    </row>
    <row r="41" spans="1:16" ht="36.75">
      <c r="A41" s="10" t="s">
        <v>358</v>
      </c>
      <c r="B41" s="17" t="s">
        <v>309</v>
      </c>
      <c r="C41" s="8" t="s">
        <v>46</v>
      </c>
      <c r="D41" s="8">
        <v>1</v>
      </c>
      <c r="E41" s="8">
        <v>1</v>
      </c>
      <c r="F41" s="52">
        <f>Patient!C6*IF(Patient!C2="Male",D41,E41)/60</f>
        <v>93.333333333333329</v>
      </c>
      <c r="G41" s="17" t="s">
        <v>270</v>
      </c>
      <c r="H41" s="17"/>
      <c r="I41" s="17" t="s">
        <v>49</v>
      </c>
      <c r="J41" s="51"/>
      <c r="K41" s="25" t="s">
        <v>359</v>
      </c>
      <c r="L41" s="49"/>
      <c r="M41" s="5" t="s">
        <v>356</v>
      </c>
      <c r="N41" s="5" t="s">
        <v>71</v>
      </c>
      <c r="O41" s="14" t="s">
        <v>357</v>
      </c>
      <c r="P41" s="14"/>
    </row>
    <row r="42" spans="1:16">
      <c r="A42" s="10" t="s">
        <v>360</v>
      </c>
      <c r="B42" s="17" t="s">
        <v>17</v>
      </c>
      <c r="C42" s="8" t="s">
        <v>46</v>
      </c>
      <c r="D42" s="8">
        <v>1.2E-2</v>
      </c>
      <c r="E42" s="8">
        <v>1.2E-2</v>
      </c>
      <c r="F42" s="52">
        <f>Patient!C7*IF(Patient!C2="Male",D42,E42)</f>
        <v>66.115855998950622</v>
      </c>
      <c r="G42" s="17" t="s">
        <v>270</v>
      </c>
      <c r="H42" s="17"/>
      <c r="I42" s="17" t="s">
        <v>49</v>
      </c>
      <c r="J42" s="17"/>
      <c r="K42" s="25"/>
      <c r="L42" s="49"/>
      <c r="M42" s="5" t="s">
        <v>356</v>
      </c>
      <c r="N42" s="5" t="s">
        <v>71</v>
      </c>
      <c r="O42" s="14" t="s">
        <v>357</v>
      </c>
      <c r="P42" s="14"/>
    </row>
    <row r="43" spans="1:16">
      <c r="A43" s="10" t="s">
        <v>361</v>
      </c>
      <c r="B43" s="17" t="s">
        <v>309</v>
      </c>
      <c r="C43" s="8" t="s">
        <v>46</v>
      </c>
      <c r="D43" s="8">
        <v>0.12</v>
      </c>
      <c r="E43" s="8">
        <v>0.12</v>
      </c>
      <c r="F43" s="52">
        <f>Patient!C6*IF(Patient!C2="Male",D43,E43)/60</f>
        <v>11.2</v>
      </c>
      <c r="G43" s="17" t="s">
        <v>270</v>
      </c>
      <c r="H43" s="17"/>
      <c r="I43" s="17" t="s">
        <v>49</v>
      </c>
      <c r="J43" s="17"/>
      <c r="K43" s="25"/>
      <c r="L43" s="49"/>
      <c r="M43" s="5" t="s">
        <v>356</v>
      </c>
      <c r="N43" s="5" t="s">
        <v>71</v>
      </c>
      <c r="O43" s="14" t="s">
        <v>357</v>
      </c>
      <c r="P43" s="14"/>
    </row>
    <row r="44" spans="1:16">
      <c r="A44" s="10" t="s">
        <v>362</v>
      </c>
      <c r="B44" s="17" t="s">
        <v>200</v>
      </c>
      <c r="C44" s="8" t="s">
        <v>46</v>
      </c>
      <c r="D44" s="8"/>
      <c r="E44" s="8"/>
      <c r="F44" s="20">
        <v>40</v>
      </c>
      <c r="G44" s="17" t="s">
        <v>363</v>
      </c>
      <c r="H44" s="17">
        <v>409</v>
      </c>
      <c r="I44" s="17" t="s">
        <v>49</v>
      </c>
      <c r="J44" s="17"/>
      <c r="K44" s="54"/>
      <c r="L44" s="49"/>
      <c r="M44" s="5" t="s">
        <v>356</v>
      </c>
      <c r="N44" s="5" t="s">
        <v>71</v>
      </c>
      <c r="O44" s="14" t="s">
        <v>357</v>
      </c>
      <c r="P44" s="14">
        <v>2</v>
      </c>
    </row>
    <row r="45" spans="1:16">
      <c r="A45" s="10" t="s">
        <v>364</v>
      </c>
      <c r="B45" s="17" t="s">
        <v>17</v>
      </c>
      <c r="C45" s="8" t="s">
        <v>46</v>
      </c>
      <c r="D45" s="8">
        <v>7.0000000000000007E-2</v>
      </c>
      <c r="E45" s="8">
        <v>7.0000000000000007E-2</v>
      </c>
      <c r="F45" s="50">
        <f>Patient!C7*IF(Patient!C2="Male",D45,E45)</f>
        <v>385.67582666054534</v>
      </c>
      <c r="G45" s="17" t="s">
        <v>270</v>
      </c>
      <c r="H45" s="17"/>
      <c r="I45" s="17" t="s">
        <v>49</v>
      </c>
      <c r="J45" s="17"/>
      <c r="K45" s="47" t="s">
        <v>365</v>
      </c>
      <c r="L45" s="49"/>
      <c r="M45" s="5" t="s">
        <v>356</v>
      </c>
      <c r="N45" s="5" t="s">
        <v>71</v>
      </c>
      <c r="O45" s="14" t="s">
        <v>357</v>
      </c>
      <c r="P45" s="14"/>
    </row>
    <row r="46" spans="1:16">
      <c r="A46" s="10" t="s">
        <v>366</v>
      </c>
      <c r="B46" s="17" t="s">
        <v>309</v>
      </c>
      <c r="C46" s="8" t="s">
        <v>46</v>
      </c>
      <c r="D46" s="8">
        <v>0.05</v>
      </c>
      <c r="E46" s="8">
        <v>0.05</v>
      </c>
      <c r="F46" s="50">
        <f>Patient!C6*IF(Patient!C2="Male",D46,E46)/60</f>
        <v>4.666666666666667</v>
      </c>
      <c r="G46" s="17" t="s">
        <v>270</v>
      </c>
      <c r="H46" s="17"/>
      <c r="I46" s="17" t="s">
        <v>49</v>
      </c>
      <c r="J46" s="17"/>
      <c r="K46" s="25"/>
      <c r="L46" s="49"/>
      <c r="M46" s="5" t="s">
        <v>356</v>
      </c>
      <c r="N46" s="5" t="s">
        <v>71</v>
      </c>
      <c r="O46" s="14" t="s">
        <v>357</v>
      </c>
      <c r="P46" s="14"/>
    </row>
    <row r="47" spans="1:16">
      <c r="A47" s="10" t="s">
        <v>367</v>
      </c>
      <c r="B47" s="17" t="s">
        <v>17</v>
      </c>
      <c r="C47" s="8" t="s">
        <v>46</v>
      </c>
      <c r="D47" s="8">
        <v>0.05</v>
      </c>
      <c r="E47" s="8">
        <v>8.5000000000000006E-2</v>
      </c>
      <c r="F47" s="50">
        <f>Patient!C7*IF(Patient!C2="Male",D47,E47)</f>
        <v>275.48273332896093</v>
      </c>
      <c r="G47" s="17" t="s">
        <v>270</v>
      </c>
      <c r="H47" s="8"/>
      <c r="I47" s="17" t="s">
        <v>49</v>
      </c>
      <c r="J47" s="8"/>
      <c r="K47" s="25"/>
      <c r="L47" s="49"/>
      <c r="M47" s="5" t="s">
        <v>356</v>
      </c>
      <c r="N47" s="5" t="s">
        <v>71</v>
      </c>
      <c r="O47" s="14" t="s">
        <v>357</v>
      </c>
      <c r="P47" s="14"/>
    </row>
    <row r="48" spans="1:16">
      <c r="A48" s="10" t="s">
        <v>368</v>
      </c>
      <c r="B48" s="17" t="s">
        <v>309</v>
      </c>
      <c r="C48" s="8" t="s">
        <v>46</v>
      </c>
      <c r="D48" s="8">
        <v>0.05</v>
      </c>
      <c r="E48" s="8">
        <v>8.5000000000000006E-2</v>
      </c>
      <c r="F48" s="50">
        <f>Patient!C6*IF(Patient!C2="Male",D48,E48)/60</f>
        <v>4.666666666666667</v>
      </c>
      <c r="G48" s="17" t="s">
        <v>270</v>
      </c>
      <c r="H48" s="17"/>
      <c r="I48" s="17" t="s">
        <v>49</v>
      </c>
      <c r="J48" s="17"/>
      <c r="K48" s="25"/>
      <c r="L48" s="49"/>
      <c r="M48" s="5" t="s">
        <v>356</v>
      </c>
      <c r="N48" s="5" t="s">
        <v>71</v>
      </c>
      <c r="O48" s="14" t="s">
        <v>357</v>
      </c>
      <c r="P48" s="14"/>
    </row>
    <row r="49" spans="1:16">
      <c r="A49" s="10" t="s">
        <v>369</v>
      </c>
      <c r="B49" s="17" t="s">
        <v>17</v>
      </c>
      <c r="C49" s="8" t="s">
        <v>46</v>
      </c>
      <c r="D49" s="8">
        <v>0.02</v>
      </c>
      <c r="E49" s="8">
        <v>0.02</v>
      </c>
      <c r="F49" s="50">
        <f>Patient!C7*IF(Patient!C2="Male",D49,E49)</f>
        <v>110.19309333158436</v>
      </c>
      <c r="G49" s="17" t="s">
        <v>270</v>
      </c>
      <c r="H49" s="55"/>
      <c r="I49" s="17" t="s">
        <v>49</v>
      </c>
      <c r="J49" s="55"/>
      <c r="K49" s="25"/>
      <c r="L49" s="49"/>
      <c r="M49" s="5" t="s">
        <v>356</v>
      </c>
      <c r="N49" s="5" t="s">
        <v>71</v>
      </c>
      <c r="O49" s="14" t="s">
        <v>357</v>
      </c>
      <c r="P49" s="14"/>
    </row>
    <row r="50" spans="1:16">
      <c r="A50" s="10" t="s">
        <v>370</v>
      </c>
      <c r="B50" s="17" t="s">
        <v>309</v>
      </c>
      <c r="C50" s="8" t="s">
        <v>46</v>
      </c>
      <c r="D50" s="8">
        <v>0.19</v>
      </c>
      <c r="E50" s="8">
        <v>0.17</v>
      </c>
      <c r="F50" s="50">
        <f>Patient!C6*IF(Patient!C2="Male",D50,E50)/60</f>
        <v>17.733333333333334</v>
      </c>
      <c r="G50" s="17" t="s">
        <v>270</v>
      </c>
      <c r="H50" s="17"/>
      <c r="I50" s="17" t="s">
        <v>49</v>
      </c>
      <c r="J50" s="17"/>
      <c r="K50" s="25"/>
      <c r="L50" s="49"/>
      <c r="M50" s="5" t="s">
        <v>356</v>
      </c>
      <c r="N50" s="5" t="s">
        <v>71</v>
      </c>
      <c r="O50" s="14" t="s">
        <v>357</v>
      </c>
      <c r="P50" s="14"/>
    </row>
    <row r="51" spans="1:16" ht="24.75">
      <c r="A51" s="10" t="s">
        <v>371</v>
      </c>
      <c r="B51" s="17" t="s">
        <v>17</v>
      </c>
      <c r="C51" s="8" t="s">
        <v>46</v>
      </c>
      <c r="D51" s="8">
        <v>2.1999999999999999E-2</v>
      </c>
      <c r="E51" s="8">
        <v>2.1999999999999999E-2</v>
      </c>
      <c r="F51" s="50">
        <f>Patient!C7*IF(Patient!C2="Male",D51,E51)</f>
        <v>121.2124026647428</v>
      </c>
      <c r="G51" s="17" t="s">
        <v>270</v>
      </c>
      <c r="H51" s="17"/>
      <c r="I51" s="17" t="s">
        <v>49</v>
      </c>
      <c r="J51" s="17"/>
      <c r="K51" s="47" t="s">
        <v>372</v>
      </c>
      <c r="L51" s="49"/>
      <c r="M51" s="5" t="s">
        <v>356</v>
      </c>
      <c r="N51" s="5" t="s">
        <v>71</v>
      </c>
      <c r="O51" s="14" t="s">
        <v>357</v>
      </c>
      <c r="P51" s="14"/>
    </row>
    <row r="52" spans="1:16">
      <c r="A52" s="10" t="s">
        <v>373</v>
      </c>
      <c r="B52" s="17" t="s">
        <v>309</v>
      </c>
      <c r="C52" s="8" t="s">
        <v>46</v>
      </c>
      <c r="D52" s="8">
        <v>0.04</v>
      </c>
      <c r="E52" s="8">
        <v>0.05</v>
      </c>
      <c r="F52" s="50">
        <f>Patient!C6*IF(Patient!C2="Male",D52,E52)/60</f>
        <v>3.7333333333333334</v>
      </c>
      <c r="G52" s="17" t="s">
        <v>270</v>
      </c>
      <c r="H52" s="17"/>
      <c r="I52" s="17" t="s">
        <v>49</v>
      </c>
      <c r="J52" s="17"/>
      <c r="K52" s="25"/>
      <c r="L52" s="49"/>
      <c r="M52" s="5" t="s">
        <v>356</v>
      </c>
      <c r="N52" s="5" t="s">
        <v>71</v>
      </c>
      <c r="O52" s="14" t="s">
        <v>357</v>
      </c>
      <c r="P52" s="14"/>
    </row>
    <row r="53" spans="1:16" ht="36.75">
      <c r="A53" s="10" t="s">
        <v>374</v>
      </c>
      <c r="B53" s="17" t="s">
        <v>17</v>
      </c>
      <c r="C53" s="8" t="s">
        <v>46</v>
      </c>
      <c r="D53" s="8">
        <v>0.02</v>
      </c>
      <c r="E53" s="8">
        <v>0.02</v>
      </c>
      <c r="F53" s="52">
        <f>Patient!C7*IF(Patient!C2="Male",D53,E53)</f>
        <v>110.19309333158436</v>
      </c>
      <c r="G53" s="17" t="s">
        <v>270</v>
      </c>
      <c r="H53" s="17"/>
      <c r="I53" s="17" t="s">
        <v>49</v>
      </c>
      <c r="J53" s="51"/>
      <c r="K53" s="47" t="s">
        <v>375</v>
      </c>
      <c r="L53" s="49"/>
      <c r="M53" s="5" t="s">
        <v>356</v>
      </c>
      <c r="N53" s="5" t="s">
        <v>71</v>
      </c>
      <c r="O53" s="14" t="s">
        <v>357</v>
      </c>
      <c r="P53" s="14"/>
    </row>
    <row r="54" spans="1:16">
      <c r="A54" s="10" t="s">
        <v>376</v>
      </c>
      <c r="B54" s="17" t="s">
        <v>309</v>
      </c>
      <c r="C54" s="8" t="s">
        <v>46</v>
      </c>
      <c r="D54" s="8">
        <v>1.4999999999999999E-2</v>
      </c>
      <c r="E54" s="8">
        <v>1.4999999999999999E-2</v>
      </c>
      <c r="F54" s="52">
        <f>Patient!C6*IF(Patient!C2="Male",D54,E54)/60</f>
        <v>1.4</v>
      </c>
      <c r="G54" s="17" t="s">
        <v>270</v>
      </c>
      <c r="H54" s="17"/>
      <c r="I54" s="17" t="s">
        <v>49</v>
      </c>
      <c r="J54" s="51"/>
      <c r="K54" s="47" t="s">
        <v>377</v>
      </c>
      <c r="L54" s="49"/>
      <c r="M54" s="5" t="s">
        <v>356</v>
      </c>
      <c r="N54" s="5"/>
      <c r="O54" s="14" t="s">
        <v>357</v>
      </c>
      <c r="P54" s="14"/>
    </row>
    <row r="55" spans="1:16">
      <c r="A55" s="10" t="s">
        <v>378</v>
      </c>
      <c r="B55" s="17" t="s">
        <v>17</v>
      </c>
      <c r="C55" s="20" t="s">
        <v>379</v>
      </c>
      <c r="D55" s="20"/>
      <c r="E55" s="20"/>
      <c r="F55" s="8" t="s">
        <v>380</v>
      </c>
      <c r="G55" s="17" t="s">
        <v>381</v>
      </c>
      <c r="H55" s="17"/>
      <c r="I55" s="17" t="s">
        <v>49</v>
      </c>
      <c r="J55" s="51"/>
      <c r="K55" s="25"/>
      <c r="L55" s="49"/>
      <c r="M55" s="5" t="s">
        <v>356</v>
      </c>
      <c r="N55" s="5" t="s">
        <v>71</v>
      </c>
      <c r="O55" s="14" t="s">
        <v>357</v>
      </c>
      <c r="P55" s="14">
        <v>6</v>
      </c>
    </row>
    <row r="56" spans="1:16">
      <c r="A56" s="10" t="s">
        <v>378</v>
      </c>
      <c r="B56" s="17" t="s">
        <v>17</v>
      </c>
      <c r="C56" s="20" t="s">
        <v>382</v>
      </c>
      <c r="D56" s="20"/>
      <c r="E56" s="20"/>
      <c r="F56" s="8" t="s">
        <v>383</v>
      </c>
      <c r="G56" s="17" t="s">
        <v>381</v>
      </c>
      <c r="H56" s="17"/>
      <c r="I56" s="17" t="s">
        <v>49</v>
      </c>
      <c r="J56" s="51"/>
      <c r="K56" s="25"/>
      <c r="L56" s="49"/>
      <c r="M56" s="5" t="s">
        <v>356</v>
      </c>
      <c r="N56" s="5" t="s">
        <v>71</v>
      </c>
      <c r="O56" s="14" t="s">
        <v>357</v>
      </c>
      <c r="P56" s="14">
        <v>6</v>
      </c>
    </row>
    <row r="57" spans="1:16">
      <c r="A57" s="10" t="s">
        <v>384</v>
      </c>
      <c r="B57" s="17" t="s">
        <v>200</v>
      </c>
      <c r="C57" s="20" t="s">
        <v>379</v>
      </c>
      <c r="D57" s="20"/>
      <c r="E57" s="20"/>
      <c r="F57" s="8" t="s">
        <v>281</v>
      </c>
      <c r="G57" s="17" t="s">
        <v>282</v>
      </c>
      <c r="H57" s="17"/>
      <c r="I57" s="17" t="s">
        <v>49</v>
      </c>
      <c r="J57" s="51"/>
      <c r="K57" s="25"/>
      <c r="L57" s="49"/>
      <c r="M57" s="5" t="s">
        <v>356</v>
      </c>
      <c r="N57" s="5" t="s">
        <v>71</v>
      </c>
      <c r="O57" s="14" t="s">
        <v>357</v>
      </c>
      <c r="P57" s="14">
        <v>6</v>
      </c>
    </row>
    <row r="58" spans="1:16" ht="48.75">
      <c r="A58" s="10" t="s">
        <v>384</v>
      </c>
      <c r="B58" s="17" t="s">
        <v>200</v>
      </c>
      <c r="C58" s="20" t="s">
        <v>382</v>
      </c>
      <c r="D58" s="20"/>
      <c r="E58" s="20"/>
      <c r="F58" s="8" t="s">
        <v>344</v>
      </c>
      <c r="G58" s="17" t="s">
        <v>346</v>
      </c>
      <c r="H58" s="17" t="s">
        <v>347</v>
      </c>
      <c r="I58" s="17" t="s">
        <v>49</v>
      </c>
      <c r="J58" s="51"/>
      <c r="K58" s="25" t="s">
        <v>348</v>
      </c>
      <c r="L58" s="49"/>
      <c r="M58" s="5" t="s">
        <v>356</v>
      </c>
      <c r="N58" s="5" t="s">
        <v>71</v>
      </c>
      <c r="O58" s="14" t="s">
        <v>357</v>
      </c>
      <c r="P58" s="14">
        <v>6</v>
      </c>
    </row>
    <row r="59" spans="1:16">
      <c r="A59" s="10" t="s">
        <v>385</v>
      </c>
      <c r="B59" s="17" t="s">
        <v>309</v>
      </c>
      <c r="C59" s="8" t="s">
        <v>46</v>
      </c>
      <c r="D59" s="8">
        <v>1</v>
      </c>
      <c r="E59" s="8">
        <v>1</v>
      </c>
      <c r="F59" s="8">
        <v>94.7</v>
      </c>
      <c r="G59" s="17" t="s">
        <v>270</v>
      </c>
      <c r="H59" s="17"/>
      <c r="I59" s="17" t="s">
        <v>49</v>
      </c>
      <c r="J59" s="51"/>
      <c r="K59" s="25"/>
      <c r="L59" s="49"/>
      <c r="M59" s="5" t="s">
        <v>356</v>
      </c>
      <c r="N59" s="5" t="s">
        <v>71</v>
      </c>
      <c r="O59" s="14" t="s">
        <v>357</v>
      </c>
      <c r="P59" s="14"/>
    </row>
    <row r="60" spans="1:16" ht="24.75">
      <c r="A60" s="10" t="s">
        <v>386</v>
      </c>
      <c r="B60" s="17" t="s">
        <v>17</v>
      </c>
      <c r="C60" s="8" t="s">
        <v>46</v>
      </c>
      <c r="D60" s="8"/>
      <c r="E60" s="8"/>
      <c r="F60" s="7">
        <f>F49*0.5</f>
        <v>55.096546665792182</v>
      </c>
      <c r="G60" s="17" t="s">
        <v>270</v>
      </c>
      <c r="H60" s="17"/>
      <c r="I60" s="17" t="s">
        <v>49</v>
      </c>
      <c r="J60" s="51"/>
      <c r="K60" s="47" t="s">
        <v>387</v>
      </c>
      <c r="L60" s="49"/>
      <c r="M60" s="5" t="s">
        <v>356</v>
      </c>
      <c r="N60" s="5" t="s">
        <v>71</v>
      </c>
      <c r="O60" s="14" t="s">
        <v>357</v>
      </c>
      <c r="P60" s="14"/>
    </row>
    <row r="61" spans="1:16" ht="24.75">
      <c r="A61" s="10" t="s">
        <v>388</v>
      </c>
      <c r="B61" s="17" t="s">
        <v>309</v>
      </c>
      <c r="C61" s="8" t="s">
        <v>46</v>
      </c>
      <c r="D61" s="8"/>
      <c r="E61" s="8"/>
      <c r="F61" s="50">
        <f>F50*0.5</f>
        <v>8.8666666666666671</v>
      </c>
      <c r="G61" s="17" t="s">
        <v>270</v>
      </c>
      <c r="H61" s="17"/>
      <c r="I61" s="17" t="s">
        <v>49</v>
      </c>
      <c r="J61" s="51"/>
      <c r="K61" s="25" t="s">
        <v>389</v>
      </c>
      <c r="L61" s="49"/>
      <c r="M61" s="5" t="s">
        <v>356</v>
      </c>
      <c r="N61" s="5" t="s">
        <v>71</v>
      </c>
      <c r="O61" s="14" t="s">
        <v>357</v>
      </c>
      <c r="P61" s="14"/>
    </row>
    <row r="62" spans="1:16" ht="36.75">
      <c r="A62" s="10" t="s">
        <v>390</v>
      </c>
      <c r="B62" s="17" t="s">
        <v>17</v>
      </c>
      <c r="C62" s="8" t="s">
        <v>46</v>
      </c>
      <c r="D62" s="8">
        <v>0.04</v>
      </c>
      <c r="E62" s="8">
        <v>0.04</v>
      </c>
      <c r="F62" s="52">
        <f>Patient!C7*IF(Patient!C2="Male",D62,E62)</f>
        <v>220.38618666316873</v>
      </c>
      <c r="G62" s="17" t="s">
        <v>270</v>
      </c>
      <c r="H62" s="17"/>
      <c r="I62" s="17" t="s">
        <v>49</v>
      </c>
      <c r="J62" s="51"/>
      <c r="K62" s="47" t="s">
        <v>375</v>
      </c>
      <c r="L62" s="49"/>
      <c r="M62" s="5" t="s">
        <v>356</v>
      </c>
      <c r="N62" s="5" t="s">
        <v>71</v>
      </c>
      <c r="O62" s="14" t="s">
        <v>357</v>
      </c>
      <c r="P62" s="14"/>
    </row>
    <row r="63" spans="1:16">
      <c r="A63" s="10" t="s">
        <v>391</v>
      </c>
      <c r="B63" s="17" t="s">
        <v>309</v>
      </c>
      <c r="C63" s="8" t="s">
        <v>46</v>
      </c>
      <c r="D63" s="8">
        <v>5.2499999999999998E-2</v>
      </c>
      <c r="E63" s="8">
        <v>5.2499999999999998E-2</v>
      </c>
      <c r="F63" s="52">
        <f>Patient!C6*IF(Patient!C2="Male",D63,E63)/60</f>
        <v>4.9000000000000004</v>
      </c>
      <c r="G63" s="17" t="s">
        <v>392</v>
      </c>
      <c r="H63" s="17"/>
      <c r="I63" s="17" t="s">
        <v>49</v>
      </c>
      <c r="J63" s="51"/>
      <c r="K63" s="47" t="s">
        <v>393</v>
      </c>
      <c r="L63" s="49"/>
      <c r="M63" s="5" t="s">
        <v>356</v>
      </c>
      <c r="N63" s="5"/>
      <c r="O63" s="14" t="s">
        <v>357</v>
      </c>
      <c r="P63" s="14"/>
    </row>
    <row r="64" spans="1:16" ht="24.75">
      <c r="A64" s="10" t="s">
        <v>394</v>
      </c>
      <c r="B64" s="17" t="s">
        <v>17</v>
      </c>
      <c r="C64" s="8" t="s">
        <v>46</v>
      </c>
      <c r="D64" s="8">
        <v>0.03</v>
      </c>
      <c r="E64" s="8">
        <v>0.03</v>
      </c>
      <c r="F64" s="52">
        <f>Patient!C10*Patient!C7*IF(Patient!C2="Male",D64,E64)</f>
        <v>66.115855998950622</v>
      </c>
      <c r="G64" s="17" t="s">
        <v>270</v>
      </c>
      <c r="H64" s="17"/>
      <c r="I64" s="17" t="s">
        <v>49</v>
      </c>
      <c r="J64" s="51"/>
      <c r="K64" s="47" t="s">
        <v>395</v>
      </c>
      <c r="L64" s="49"/>
      <c r="M64" s="5" t="s">
        <v>356</v>
      </c>
      <c r="N64" s="5" t="s">
        <v>71</v>
      </c>
      <c r="O64" s="14" t="s">
        <v>357</v>
      </c>
      <c r="P64" s="14">
        <v>1</v>
      </c>
    </row>
    <row r="65" spans="1:16">
      <c r="A65" s="10" t="s">
        <v>396</v>
      </c>
      <c r="B65" s="17" t="s">
        <v>309</v>
      </c>
      <c r="C65" s="8" t="s">
        <v>46</v>
      </c>
      <c r="D65" s="8">
        <v>1</v>
      </c>
      <c r="E65" s="8">
        <v>1</v>
      </c>
      <c r="F65" s="52">
        <f>Patient!C10*Patient!C6*IF(Patient!C3="Male",D65,E65)/60</f>
        <v>37.333333333333336</v>
      </c>
      <c r="G65" s="17" t="s">
        <v>270</v>
      </c>
      <c r="H65" s="17"/>
      <c r="I65" s="17" t="s">
        <v>49</v>
      </c>
      <c r="J65" s="51"/>
      <c r="K65" s="25"/>
      <c r="L65" s="49"/>
      <c r="M65" s="5" t="s">
        <v>356</v>
      </c>
      <c r="N65" s="5" t="s">
        <v>71</v>
      </c>
      <c r="O65" s="14" t="s">
        <v>357</v>
      </c>
      <c r="P65" s="14"/>
    </row>
    <row r="66" spans="1:16" ht="24.75">
      <c r="A66" s="10" t="s">
        <v>397</v>
      </c>
      <c r="B66" s="17" t="s">
        <v>17</v>
      </c>
      <c r="C66" s="8" t="s">
        <v>46</v>
      </c>
      <c r="D66" s="8">
        <v>0.02</v>
      </c>
      <c r="E66" s="8">
        <v>0.02</v>
      </c>
      <c r="F66" s="52">
        <f>Patient!C10*Patient!C7*IF(Patient!C4="Male",D66,E66)</f>
        <v>44.07723733263375</v>
      </c>
      <c r="G66" s="17" t="s">
        <v>270</v>
      </c>
      <c r="H66" s="17"/>
      <c r="I66" s="17" t="s">
        <v>49</v>
      </c>
      <c r="J66" s="51"/>
      <c r="K66" s="47" t="s">
        <v>395</v>
      </c>
      <c r="L66" s="49"/>
      <c r="M66" s="5" t="s">
        <v>356</v>
      </c>
      <c r="N66" s="5" t="s">
        <v>71</v>
      </c>
      <c r="O66" s="14" t="s">
        <v>357</v>
      </c>
      <c r="P66" s="14">
        <v>1</v>
      </c>
    </row>
    <row r="67" spans="1:16">
      <c r="A67" s="10" t="s">
        <v>398</v>
      </c>
      <c r="B67" s="17" t="s">
        <v>309</v>
      </c>
      <c r="C67" s="8" t="s">
        <v>46</v>
      </c>
      <c r="D67" s="8">
        <v>1</v>
      </c>
      <c r="E67" s="8">
        <v>1</v>
      </c>
      <c r="F67" s="52">
        <f>Patient!C10*Patient!C6*IF(Patient!C5="Male",D67,E67)/60</f>
        <v>37.333333333333336</v>
      </c>
      <c r="G67" s="17" t="s">
        <v>270</v>
      </c>
      <c r="H67" s="17"/>
      <c r="I67" s="17" t="s">
        <v>49</v>
      </c>
      <c r="J67" s="51"/>
      <c r="K67" s="25"/>
      <c r="L67" s="49"/>
      <c r="M67" s="5" t="s">
        <v>356</v>
      </c>
      <c r="N67" s="5" t="s">
        <v>71</v>
      </c>
      <c r="O67" s="14" t="s">
        <v>357</v>
      </c>
      <c r="P67" s="14"/>
    </row>
    <row r="68" spans="1:16" ht="24.75">
      <c r="A68" s="10" t="s">
        <v>399</v>
      </c>
      <c r="B68" s="17" t="s">
        <v>17</v>
      </c>
      <c r="C68" s="8" t="s">
        <v>46</v>
      </c>
      <c r="D68" s="8">
        <v>5.5E-2</v>
      </c>
      <c r="E68" s="8">
        <v>5.5E-2</v>
      </c>
      <c r="F68" s="52">
        <f>Patient!C10*Patient!C7*IF(Patient!C6="Male",D68,E68)</f>
        <v>121.21240266474281</v>
      </c>
      <c r="G68" s="17" t="s">
        <v>270</v>
      </c>
      <c r="H68" s="17"/>
      <c r="I68" s="17" t="s">
        <v>49</v>
      </c>
      <c r="J68" s="51"/>
      <c r="K68" s="47" t="s">
        <v>395</v>
      </c>
      <c r="L68" s="49"/>
      <c r="M68" s="5" t="s">
        <v>356</v>
      </c>
      <c r="N68" s="5" t="s">
        <v>71</v>
      </c>
      <c r="O68" s="14" t="s">
        <v>357</v>
      </c>
      <c r="P68" s="14">
        <v>1</v>
      </c>
    </row>
    <row r="69" spans="1:16">
      <c r="A69" s="10" t="s">
        <v>400</v>
      </c>
      <c r="B69" s="17" t="s">
        <v>309</v>
      </c>
      <c r="C69" s="8" t="s">
        <v>46</v>
      </c>
      <c r="D69" s="8">
        <v>1</v>
      </c>
      <c r="E69" s="8">
        <v>1</v>
      </c>
      <c r="F69" s="52">
        <f>Patient!C10*Patient!C6*IF(Patient!C7="Male",D69,E69)/60</f>
        <v>37.333333333333336</v>
      </c>
      <c r="G69" s="17" t="s">
        <v>270</v>
      </c>
      <c r="H69" s="17"/>
      <c r="I69" s="17" t="s">
        <v>49</v>
      </c>
      <c r="J69" s="51"/>
      <c r="K69" s="25"/>
      <c r="L69" s="49"/>
      <c r="M69" s="5" t="s">
        <v>356</v>
      </c>
      <c r="N69" s="5" t="s">
        <v>71</v>
      </c>
      <c r="O69" s="14" t="s">
        <v>357</v>
      </c>
      <c r="P69" s="14"/>
    </row>
    <row r="70" spans="1:16" ht="24.75">
      <c r="A70" s="10" t="s">
        <v>401</v>
      </c>
      <c r="B70" s="17" t="s">
        <v>17</v>
      </c>
      <c r="C70" s="8" t="s">
        <v>46</v>
      </c>
      <c r="D70" s="8">
        <v>0.1</v>
      </c>
      <c r="E70" s="8">
        <v>0.1</v>
      </c>
      <c r="F70" s="50">
        <f>Patient!C7*IF(Patient!C2="Male",D70,E70)</f>
        <v>550.96546665792187</v>
      </c>
      <c r="G70" s="17" t="s">
        <v>270</v>
      </c>
      <c r="H70" s="17"/>
      <c r="I70" s="17" t="s">
        <v>49</v>
      </c>
      <c r="J70" s="17"/>
      <c r="K70" s="47" t="s">
        <v>402</v>
      </c>
      <c r="L70" s="49"/>
      <c r="M70" s="5" t="s">
        <v>356</v>
      </c>
      <c r="N70" s="5" t="s">
        <v>71</v>
      </c>
      <c r="O70" s="14" t="s">
        <v>357</v>
      </c>
      <c r="P70" s="14"/>
    </row>
    <row r="71" spans="1:16">
      <c r="A71" s="10" t="s">
        <v>403</v>
      </c>
      <c r="B71" s="17" t="s">
        <v>309</v>
      </c>
      <c r="C71" s="8" t="s">
        <v>46</v>
      </c>
      <c r="D71" s="8">
        <v>0.255</v>
      </c>
      <c r="E71" s="8">
        <v>0.27</v>
      </c>
      <c r="F71" s="50">
        <f>Patient!C6*IF(Patient!C2="Male",D71,E71)/60</f>
        <v>23.8</v>
      </c>
      <c r="G71" s="17" t="s">
        <v>15</v>
      </c>
      <c r="H71" s="17" t="s">
        <v>404</v>
      </c>
      <c r="I71" s="17" t="s">
        <v>49</v>
      </c>
      <c r="J71" s="17"/>
      <c r="K71" s="25" t="s">
        <v>405</v>
      </c>
      <c r="L71" s="49"/>
      <c r="M71" s="5" t="s">
        <v>356</v>
      </c>
      <c r="N71" s="5" t="s">
        <v>71</v>
      </c>
      <c r="O71" s="14" t="s">
        <v>357</v>
      </c>
      <c r="P71" s="14"/>
    </row>
    <row r="72" spans="1:16">
      <c r="A72" s="10" t="s">
        <v>406</v>
      </c>
      <c r="B72" s="17" t="s">
        <v>17</v>
      </c>
      <c r="C72" s="8" t="s">
        <v>46</v>
      </c>
      <c r="D72" s="8">
        <v>0.14000000000000001</v>
      </c>
      <c r="E72" s="8">
        <v>0.105</v>
      </c>
      <c r="F72" s="52">
        <f>Patient!C7*IF(Patient!C2="Male",D72,E72)</f>
        <v>771.35165332109068</v>
      </c>
      <c r="G72" s="17" t="s">
        <v>270</v>
      </c>
      <c r="H72" s="17"/>
      <c r="I72" s="17" t="s">
        <v>49</v>
      </c>
      <c r="J72" s="17"/>
      <c r="K72" s="47" t="s">
        <v>407</v>
      </c>
      <c r="L72" s="49"/>
      <c r="M72" s="5" t="s">
        <v>356</v>
      </c>
      <c r="N72" s="5" t="s">
        <v>71</v>
      </c>
      <c r="O72" s="14" t="s">
        <v>357</v>
      </c>
      <c r="P72" s="14"/>
    </row>
    <row r="73" spans="1:16">
      <c r="A73" s="10" t="s">
        <v>408</v>
      </c>
      <c r="B73" s="17" t="s">
        <v>309</v>
      </c>
      <c r="C73" s="8" t="s">
        <v>46</v>
      </c>
      <c r="D73" s="8">
        <v>0.17</v>
      </c>
      <c r="E73" s="8">
        <v>0.12</v>
      </c>
      <c r="F73" s="52">
        <f>Patient!C6*IF(Patient!C2="Male",D73,E73)/60</f>
        <v>15.866666666666669</v>
      </c>
      <c r="G73" s="17" t="s">
        <v>270</v>
      </c>
      <c r="H73" s="17"/>
      <c r="I73" s="17" t="s">
        <v>49</v>
      </c>
      <c r="J73" s="17"/>
      <c r="K73" s="25"/>
      <c r="L73" s="49"/>
      <c r="M73" s="5" t="s">
        <v>356</v>
      </c>
      <c r="N73" s="5" t="s">
        <v>71</v>
      </c>
      <c r="O73" s="14" t="s">
        <v>357</v>
      </c>
      <c r="P73" s="14"/>
    </row>
    <row r="74" spans="1:16">
      <c r="A74" s="10" t="s">
        <v>409</v>
      </c>
      <c r="B74" s="17" t="s">
        <v>17</v>
      </c>
      <c r="C74" s="8" t="s">
        <v>46</v>
      </c>
      <c r="D74" s="8">
        <v>0.01</v>
      </c>
      <c r="E74" s="8">
        <v>0.01</v>
      </c>
      <c r="F74" s="52">
        <f>Patient!C7*IF(Patient!C2="Male",D74,E74)</f>
        <v>55.096546665792182</v>
      </c>
      <c r="G74" s="17" t="s">
        <v>270</v>
      </c>
      <c r="H74" s="17"/>
      <c r="I74" s="17" t="s">
        <v>49</v>
      </c>
      <c r="J74" s="51"/>
      <c r="K74" s="47" t="s">
        <v>410</v>
      </c>
      <c r="L74" s="49"/>
      <c r="M74" s="5" t="s">
        <v>356</v>
      </c>
      <c r="N74" s="5" t="s">
        <v>71</v>
      </c>
      <c r="O74" s="14" t="s">
        <v>357</v>
      </c>
      <c r="P74" s="14"/>
    </row>
    <row r="75" spans="1:16">
      <c r="A75" s="10" t="s">
        <v>411</v>
      </c>
      <c r="B75" s="17" t="s">
        <v>309</v>
      </c>
      <c r="C75" s="8" t="s">
        <v>46</v>
      </c>
      <c r="D75" s="8">
        <v>0.04</v>
      </c>
      <c r="E75" s="8">
        <v>0.05</v>
      </c>
      <c r="F75" s="52">
        <f>Patient!C6*IF(Patient!C2="Male",D75,E75)/60</f>
        <v>3.7333333333333334</v>
      </c>
      <c r="G75" s="17" t="s">
        <v>270</v>
      </c>
      <c r="H75" s="17"/>
      <c r="I75" s="17" t="s">
        <v>49</v>
      </c>
      <c r="J75" s="51"/>
      <c r="K75" s="25"/>
      <c r="L75" s="49"/>
      <c r="M75" s="5" t="s">
        <v>356</v>
      </c>
      <c r="N75" s="5" t="s">
        <v>71</v>
      </c>
      <c r="O75" s="14" t="s">
        <v>357</v>
      </c>
      <c r="P75" s="14"/>
    </row>
    <row r="76" spans="1:16" ht="24.75">
      <c r="A76" s="10" t="s">
        <v>412</v>
      </c>
      <c r="B76" s="17" t="s">
        <v>17</v>
      </c>
      <c r="C76" s="8" t="s">
        <v>46</v>
      </c>
      <c r="D76" s="8">
        <v>0.03</v>
      </c>
      <c r="E76" s="8">
        <v>0.03</v>
      </c>
      <c r="F76" s="52">
        <f>Patient!C7*IF(Patient!C19="Male",D76,E76)</f>
        <v>165.28963999737655</v>
      </c>
      <c r="G76" s="17" t="s">
        <v>270</v>
      </c>
      <c r="H76" s="17"/>
      <c r="I76" s="17" t="s">
        <v>49</v>
      </c>
      <c r="J76" s="51"/>
      <c r="K76" s="47" t="s">
        <v>395</v>
      </c>
      <c r="L76" s="49"/>
      <c r="M76" s="5" t="s">
        <v>356</v>
      </c>
      <c r="N76" s="5" t="s">
        <v>71</v>
      </c>
      <c r="O76" s="14" t="s">
        <v>357</v>
      </c>
      <c r="P76" s="14"/>
    </row>
    <row r="77" spans="1:16">
      <c r="A77" s="10" t="s">
        <v>413</v>
      </c>
      <c r="B77" s="17" t="s">
        <v>309</v>
      </c>
      <c r="C77" s="8" t="s">
        <v>46</v>
      </c>
      <c r="D77" s="8">
        <v>1</v>
      </c>
      <c r="E77" s="8">
        <v>1</v>
      </c>
      <c r="F77" s="52">
        <f>Patient!C6*IF(Patient!C2="Male",D77,E77)/60</f>
        <v>93.333333333333329</v>
      </c>
      <c r="G77" s="17" t="s">
        <v>270</v>
      </c>
      <c r="H77" s="17"/>
      <c r="I77" s="17" t="s">
        <v>49</v>
      </c>
      <c r="J77" s="51"/>
      <c r="K77" s="25"/>
      <c r="L77" s="49"/>
      <c r="M77" s="5" t="s">
        <v>356</v>
      </c>
      <c r="N77" s="5" t="s">
        <v>71</v>
      </c>
      <c r="O77" s="14" t="s">
        <v>357</v>
      </c>
      <c r="P77" s="14"/>
    </row>
    <row r="78" spans="1:16">
      <c r="A78" s="10" t="s">
        <v>414</v>
      </c>
      <c r="B78" s="17" t="s">
        <v>200</v>
      </c>
      <c r="C78" s="20" t="s">
        <v>379</v>
      </c>
      <c r="D78" s="5"/>
      <c r="E78" s="5"/>
      <c r="F78" s="8" t="s">
        <v>281</v>
      </c>
      <c r="G78" s="17" t="s">
        <v>91</v>
      </c>
      <c r="H78" s="17" t="s">
        <v>267</v>
      </c>
      <c r="I78" s="17" t="s">
        <v>49</v>
      </c>
      <c r="J78" s="51"/>
      <c r="K78" s="25"/>
      <c r="L78" s="49"/>
      <c r="M78" s="5" t="s">
        <v>356</v>
      </c>
      <c r="N78" s="5" t="s">
        <v>71</v>
      </c>
      <c r="O78" s="14" t="s">
        <v>357</v>
      </c>
      <c r="P78" s="14"/>
    </row>
    <row r="79" spans="1:16">
      <c r="A79" s="10" t="s">
        <v>414</v>
      </c>
      <c r="B79" s="17" t="s">
        <v>200</v>
      </c>
      <c r="C79" s="20" t="s">
        <v>382</v>
      </c>
      <c r="D79" s="5"/>
      <c r="E79" s="5"/>
      <c r="F79" s="8" t="s">
        <v>327</v>
      </c>
      <c r="G79" s="17" t="s">
        <v>91</v>
      </c>
      <c r="H79" s="17" t="s">
        <v>267</v>
      </c>
      <c r="I79" s="17" t="s">
        <v>49</v>
      </c>
      <c r="J79" s="51"/>
      <c r="K79" s="25"/>
      <c r="L79" s="49"/>
      <c r="M79" s="5" t="s">
        <v>356</v>
      </c>
      <c r="N79" s="5" t="s">
        <v>71</v>
      </c>
      <c r="O79" s="14" t="s">
        <v>357</v>
      </c>
      <c r="P79" s="14"/>
    </row>
    <row r="80" spans="1:16" ht="24.75">
      <c r="A80" s="10" t="s">
        <v>415</v>
      </c>
      <c r="B80" s="17" t="s">
        <v>17</v>
      </c>
      <c r="C80" s="8" t="s">
        <v>46</v>
      </c>
      <c r="D80" s="8">
        <v>0.02</v>
      </c>
      <c r="E80" s="8">
        <v>0.02</v>
      </c>
      <c r="F80" s="52">
        <f>Patient!C7*IF(Patient!C2="Male",D80,E80)</f>
        <v>110.19309333158436</v>
      </c>
      <c r="G80" s="17" t="s">
        <v>270</v>
      </c>
      <c r="H80" s="17"/>
      <c r="I80" s="17" t="s">
        <v>49</v>
      </c>
      <c r="J80" s="51"/>
      <c r="K80" s="47" t="s">
        <v>395</v>
      </c>
      <c r="L80" s="49"/>
      <c r="M80" s="5" t="s">
        <v>356</v>
      </c>
      <c r="N80" s="5" t="s">
        <v>71</v>
      </c>
      <c r="O80" s="14" t="s">
        <v>357</v>
      </c>
      <c r="P80" s="14"/>
    </row>
    <row r="81" spans="1:16">
      <c r="A81" s="10" t="s">
        <v>416</v>
      </c>
      <c r="B81" s="17" t="s">
        <v>309</v>
      </c>
      <c r="C81" s="8" t="s">
        <v>46</v>
      </c>
      <c r="D81" s="8">
        <v>1</v>
      </c>
      <c r="E81" s="8">
        <v>1</v>
      </c>
      <c r="F81" s="52">
        <f>Patient!C6*IF(Patient!C20="Male",D81,E81)/60</f>
        <v>93.333333333333329</v>
      </c>
      <c r="G81" s="17" t="s">
        <v>270</v>
      </c>
      <c r="H81" s="17"/>
      <c r="I81" s="17" t="s">
        <v>49</v>
      </c>
      <c r="J81" s="51"/>
      <c r="K81" s="25"/>
      <c r="L81" s="49"/>
      <c r="M81" s="5" t="s">
        <v>356</v>
      </c>
      <c r="N81" s="5" t="s">
        <v>71</v>
      </c>
      <c r="O81" s="14" t="s">
        <v>357</v>
      </c>
      <c r="P81" s="14"/>
    </row>
    <row r="82" spans="1:16">
      <c r="A82" s="10" t="s">
        <v>417</v>
      </c>
      <c r="B82" s="17" t="s">
        <v>200</v>
      </c>
      <c r="C82" s="20" t="s">
        <v>46</v>
      </c>
      <c r="D82" s="5"/>
      <c r="E82" s="5"/>
      <c r="F82" s="8" t="s">
        <v>281</v>
      </c>
      <c r="G82" s="17" t="s">
        <v>91</v>
      </c>
      <c r="H82" s="17" t="s">
        <v>267</v>
      </c>
      <c r="I82" s="17" t="s">
        <v>49</v>
      </c>
      <c r="J82" s="51"/>
      <c r="K82" s="25" t="s">
        <v>418</v>
      </c>
      <c r="L82" s="49"/>
      <c r="M82" s="5" t="s">
        <v>356</v>
      </c>
      <c r="N82" s="5" t="s">
        <v>71</v>
      </c>
      <c r="O82" s="14" t="s">
        <v>357</v>
      </c>
      <c r="P82" s="14">
        <v>1</v>
      </c>
    </row>
    <row r="83" spans="1:16" ht="24.75">
      <c r="A83" s="10" t="s">
        <v>419</v>
      </c>
      <c r="B83" s="17" t="s">
        <v>17</v>
      </c>
      <c r="C83" s="8" t="s">
        <v>46</v>
      </c>
      <c r="D83" s="8">
        <v>5.5E-2</v>
      </c>
      <c r="E83" s="8">
        <v>5.5E-2</v>
      </c>
      <c r="F83" s="52">
        <f>Patient!C7*IF(Patient!C22="Male",D83,E83)</f>
        <v>303.03100666185702</v>
      </c>
      <c r="G83" s="17" t="s">
        <v>270</v>
      </c>
      <c r="H83" s="17"/>
      <c r="I83" s="17" t="s">
        <v>49</v>
      </c>
      <c r="J83" s="51"/>
      <c r="K83" s="47" t="s">
        <v>395</v>
      </c>
      <c r="L83" s="49"/>
      <c r="M83" s="5" t="s">
        <v>356</v>
      </c>
      <c r="N83" s="5" t="s">
        <v>71</v>
      </c>
      <c r="O83" s="14" t="s">
        <v>357</v>
      </c>
      <c r="P83" s="14"/>
    </row>
    <row r="84" spans="1:16">
      <c r="A84" s="10" t="s">
        <v>420</v>
      </c>
      <c r="B84" s="17" t="s">
        <v>309</v>
      </c>
      <c r="C84" s="8" t="s">
        <v>46</v>
      </c>
      <c r="D84" s="8">
        <v>1</v>
      </c>
      <c r="E84" s="8">
        <v>1</v>
      </c>
      <c r="F84" s="52">
        <f>Patient!C6*IF(Patient!C23="Male",D84,E84)/60</f>
        <v>93.333333333333329</v>
      </c>
      <c r="G84" s="17" t="s">
        <v>270</v>
      </c>
      <c r="H84" s="17"/>
      <c r="I84" s="17" t="s">
        <v>49</v>
      </c>
      <c r="J84" s="51"/>
      <c r="K84" s="25"/>
      <c r="L84" s="49"/>
      <c r="M84" s="5" t="s">
        <v>356</v>
      </c>
      <c r="N84" s="5" t="s">
        <v>71</v>
      </c>
      <c r="O84" s="14" t="s">
        <v>357</v>
      </c>
      <c r="P84" s="14"/>
    </row>
    <row r="85" spans="1:16" ht="36.75">
      <c r="A85" s="10" t="s">
        <v>421</v>
      </c>
      <c r="B85" s="17" t="s">
        <v>200</v>
      </c>
      <c r="C85" s="20" t="s">
        <v>46</v>
      </c>
      <c r="D85" s="20"/>
      <c r="E85" s="20"/>
      <c r="F85" s="8" t="s">
        <v>281</v>
      </c>
      <c r="G85" s="17" t="s">
        <v>91</v>
      </c>
      <c r="H85" s="17" t="s">
        <v>267</v>
      </c>
      <c r="I85" s="17" t="s">
        <v>49</v>
      </c>
      <c r="J85" s="51"/>
      <c r="K85" s="25" t="s">
        <v>422</v>
      </c>
      <c r="L85" s="49"/>
      <c r="M85" s="5" t="s">
        <v>356</v>
      </c>
      <c r="N85" s="5" t="s">
        <v>71</v>
      </c>
      <c r="O85" s="14" t="s">
        <v>357</v>
      </c>
      <c r="P85" s="14">
        <v>1</v>
      </c>
    </row>
    <row r="86" spans="1:16" ht="36.75">
      <c r="A86" s="10" t="s">
        <v>423</v>
      </c>
      <c r="B86" s="17" t="s">
        <v>17</v>
      </c>
      <c r="C86" s="8" t="s">
        <v>46</v>
      </c>
      <c r="D86" s="8">
        <v>0.02</v>
      </c>
      <c r="E86" s="8">
        <v>0.02</v>
      </c>
      <c r="F86" s="52">
        <f>Patient!C7*IF(Patient!C2="Male",D86,E86)</f>
        <v>110.19309333158436</v>
      </c>
      <c r="G86" s="17" t="s">
        <v>270</v>
      </c>
      <c r="H86" s="17"/>
      <c r="I86" s="17" t="s">
        <v>49</v>
      </c>
      <c r="J86" s="51"/>
      <c r="K86" s="47" t="s">
        <v>375</v>
      </c>
      <c r="L86" s="49"/>
      <c r="M86" s="5" t="s">
        <v>356</v>
      </c>
      <c r="N86" s="5" t="s">
        <v>71</v>
      </c>
      <c r="O86" s="14" t="s">
        <v>357</v>
      </c>
      <c r="P86" s="14"/>
    </row>
    <row r="87" spans="1:16">
      <c r="A87" s="10" t="s">
        <v>424</v>
      </c>
      <c r="B87" s="17" t="s">
        <v>309</v>
      </c>
      <c r="C87" s="8" t="s">
        <v>46</v>
      </c>
      <c r="D87" s="8">
        <v>1.4999999999999999E-2</v>
      </c>
      <c r="E87" s="8">
        <v>1.4999999999999999E-2</v>
      </c>
      <c r="F87" s="52">
        <f>Patient!C6*IF(Patient!C2="Male",D87,E87)/60</f>
        <v>1.4</v>
      </c>
      <c r="G87" s="17" t="s">
        <v>425</v>
      </c>
      <c r="H87" s="17"/>
      <c r="I87" s="17" t="s">
        <v>49</v>
      </c>
      <c r="J87" s="51"/>
      <c r="K87" s="47" t="s">
        <v>377</v>
      </c>
      <c r="L87" s="49"/>
      <c r="M87" s="5" t="s">
        <v>356</v>
      </c>
      <c r="N87" s="5"/>
      <c r="O87" s="14" t="s">
        <v>357</v>
      </c>
      <c r="P87" s="14"/>
    </row>
    <row r="88" spans="1:16" ht="60.75">
      <c r="A88" s="10" t="s">
        <v>426</v>
      </c>
      <c r="B88" s="17" t="s">
        <v>17</v>
      </c>
      <c r="C88" s="20" t="s">
        <v>379</v>
      </c>
      <c r="D88" s="20"/>
      <c r="E88" s="20"/>
      <c r="F88" s="8" t="s">
        <v>427</v>
      </c>
      <c r="G88" s="17" t="s">
        <v>428</v>
      </c>
      <c r="H88" s="17"/>
      <c r="I88" s="17" t="s">
        <v>49</v>
      </c>
      <c r="J88" s="51"/>
      <c r="K88" s="47" t="s">
        <v>429</v>
      </c>
      <c r="L88" s="49"/>
      <c r="M88" s="5" t="s">
        <v>356</v>
      </c>
      <c r="N88" s="5" t="s">
        <v>71</v>
      </c>
      <c r="O88" s="14" t="s">
        <v>357</v>
      </c>
      <c r="P88" s="14"/>
    </row>
    <row r="89" spans="1:16" ht="24">
      <c r="A89" s="10" t="s">
        <v>426</v>
      </c>
      <c r="B89" s="17" t="s">
        <v>17</v>
      </c>
      <c r="C89" s="20" t="s">
        <v>382</v>
      </c>
      <c r="D89" s="20"/>
      <c r="E89" s="20"/>
      <c r="F89" s="8" t="s">
        <v>430</v>
      </c>
      <c r="G89" s="17" t="s">
        <v>428</v>
      </c>
      <c r="H89" s="17"/>
      <c r="I89" s="17" t="s">
        <v>49</v>
      </c>
      <c r="J89" s="51"/>
      <c r="K89" s="25"/>
      <c r="L89" s="49"/>
      <c r="M89" s="5" t="s">
        <v>356</v>
      </c>
      <c r="N89" s="5" t="s">
        <v>71</v>
      </c>
      <c r="O89" s="14" t="s">
        <v>357</v>
      </c>
      <c r="P89" s="14"/>
    </row>
    <row r="90" spans="1:16" ht="36.75">
      <c r="A90" s="10" t="s">
        <v>431</v>
      </c>
      <c r="B90" s="17" t="s">
        <v>200</v>
      </c>
      <c r="C90" s="20" t="s">
        <v>379</v>
      </c>
      <c r="D90" s="20"/>
      <c r="E90" s="20"/>
      <c r="F90" s="8" t="s">
        <v>284</v>
      </c>
      <c r="G90" s="17" t="s">
        <v>282</v>
      </c>
      <c r="H90" s="17"/>
      <c r="I90" s="17" t="s">
        <v>49</v>
      </c>
      <c r="J90" s="51"/>
      <c r="K90" s="25" t="s">
        <v>285</v>
      </c>
      <c r="L90" s="49"/>
      <c r="M90" s="5" t="s">
        <v>356</v>
      </c>
      <c r="N90" s="5" t="s">
        <v>71</v>
      </c>
      <c r="O90" s="14" t="s">
        <v>357</v>
      </c>
      <c r="P90" s="14"/>
    </row>
    <row r="91" spans="1:16">
      <c r="A91" s="10" t="s">
        <v>431</v>
      </c>
      <c r="B91" s="17" t="s">
        <v>200</v>
      </c>
      <c r="C91" s="20" t="s">
        <v>382</v>
      </c>
      <c r="D91" s="20"/>
      <c r="E91" s="20"/>
      <c r="F91" s="8" t="s">
        <v>327</v>
      </c>
      <c r="G91" s="17" t="s">
        <v>282</v>
      </c>
      <c r="H91" s="17"/>
      <c r="I91" s="17" t="s">
        <v>49</v>
      </c>
      <c r="J91" s="51"/>
      <c r="K91" s="25"/>
      <c r="L91" s="49"/>
      <c r="M91" s="5" t="s">
        <v>356</v>
      </c>
      <c r="N91" s="5" t="s">
        <v>71</v>
      </c>
      <c r="O91" s="14" t="s">
        <v>357</v>
      </c>
      <c r="P91" s="14"/>
    </row>
    <row r="92" spans="1:16">
      <c r="A92" s="10" t="s">
        <v>432</v>
      </c>
      <c r="B92" s="17" t="s">
        <v>309</v>
      </c>
      <c r="C92" s="8" t="s">
        <v>46</v>
      </c>
      <c r="D92" s="8"/>
      <c r="E92" s="8"/>
      <c r="F92" s="8">
        <v>94.7</v>
      </c>
      <c r="G92" s="17" t="s">
        <v>270</v>
      </c>
      <c r="H92" s="17"/>
      <c r="I92" s="17" t="s">
        <v>49</v>
      </c>
      <c r="J92" s="51"/>
      <c r="K92" s="25"/>
      <c r="L92" s="49"/>
      <c r="M92" s="5" t="s">
        <v>356</v>
      </c>
      <c r="N92" s="5" t="s">
        <v>71</v>
      </c>
      <c r="O92" s="14" t="s">
        <v>357</v>
      </c>
      <c r="P92" s="14"/>
    </row>
    <row r="93" spans="1:16" ht="24.75">
      <c r="A93" s="10" t="s">
        <v>433</v>
      </c>
      <c r="B93" s="17" t="s">
        <v>17</v>
      </c>
      <c r="C93" s="8" t="s">
        <v>46</v>
      </c>
      <c r="D93" s="8"/>
      <c r="E93" s="8"/>
      <c r="F93" s="7">
        <f>F49*0.5</f>
        <v>55.096546665792182</v>
      </c>
      <c r="G93" s="17" t="s">
        <v>270</v>
      </c>
      <c r="H93" s="17"/>
      <c r="I93" s="17" t="s">
        <v>49</v>
      </c>
      <c r="J93" s="51"/>
      <c r="K93" s="47" t="s">
        <v>387</v>
      </c>
      <c r="L93" s="49"/>
      <c r="M93" s="5" t="s">
        <v>356</v>
      </c>
      <c r="N93" s="5" t="s">
        <v>71</v>
      </c>
      <c r="O93" s="14" t="s">
        <v>357</v>
      </c>
      <c r="P93" s="14"/>
    </row>
    <row r="94" spans="1:16" ht="24.75">
      <c r="A94" s="10" t="s">
        <v>434</v>
      </c>
      <c r="B94" s="17" t="s">
        <v>309</v>
      </c>
      <c r="C94" s="8" t="s">
        <v>46</v>
      </c>
      <c r="D94" s="8"/>
      <c r="E94" s="8"/>
      <c r="F94" s="50">
        <f>F50*0.5</f>
        <v>8.8666666666666671</v>
      </c>
      <c r="G94" s="17" t="s">
        <v>270</v>
      </c>
      <c r="H94" s="17"/>
      <c r="I94" s="17" t="s">
        <v>49</v>
      </c>
      <c r="J94" s="51"/>
      <c r="K94" s="25" t="s">
        <v>389</v>
      </c>
      <c r="L94" s="49"/>
      <c r="M94" s="5" t="s">
        <v>356</v>
      </c>
      <c r="N94" s="5" t="s">
        <v>71</v>
      </c>
      <c r="O94" s="14" t="s">
        <v>357</v>
      </c>
      <c r="P94" s="14"/>
    </row>
    <row r="95" spans="1:16" ht="36.75">
      <c r="A95" s="10" t="s">
        <v>435</v>
      </c>
      <c r="B95" s="17" t="s">
        <v>17</v>
      </c>
      <c r="C95" s="8" t="s">
        <v>46</v>
      </c>
      <c r="D95" s="8">
        <v>0.04</v>
      </c>
      <c r="E95" s="8">
        <v>0.04</v>
      </c>
      <c r="F95" s="52">
        <f>Patient!C7*IF(Patient!C2="Male",D95,E95)</f>
        <v>220.38618666316873</v>
      </c>
      <c r="G95" s="17" t="s">
        <v>270</v>
      </c>
      <c r="H95" s="17"/>
      <c r="I95" s="17" t="s">
        <v>49</v>
      </c>
      <c r="J95" s="51"/>
      <c r="K95" s="47" t="s">
        <v>375</v>
      </c>
      <c r="L95" s="49"/>
      <c r="M95" s="5" t="s">
        <v>356</v>
      </c>
      <c r="N95" s="5" t="s">
        <v>71</v>
      </c>
      <c r="O95" s="14" t="s">
        <v>357</v>
      </c>
      <c r="P95" s="14"/>
    </row>
    <row r="96" spans="1:16">
      <c r="A96" s="10" t="s">
        <v>436</v>
      </c>
      <c r="B96" s="17" t="s">
        <v>309</v>
      </c>
      <c r="C96" s="8" t="s">
        <v>46</v>
      </c>
      <c r="D96" s="8">
        <v>5.2499999999999998E-2</v>
      </c>
      <c r="E96" s="8">
        <v>5.2499999999999998E-2</v>
      </c>
      <c r="F96" s="52">
        <f>Patient!C6*IF(Patient!C2="Male",D96,E96)/60</f>
        <v>4.9000000000000004</v>
      </c>
      <c r="G96" s="17" t="s">
        <v>392</v>
      </c>
      <c r="H96" s="17"/>
      <c r="I96" s="17" t="s">
        <v>49</v>
      </c>
      <c r="J96" s="51"/>
      <c r="K96" s="47" t="s">
        <v>393</v>
      </c>
      <c r="L96" s="49"/>
      <c r="M96" s="5" t="s">
        <v>356</v>
      </c>
      <c r="N96" s="5"/>
      <c r="O96" s="14" t="s">
        <v>357</v>
      </c>
      <c r="P96" s="14"/>
    </row>
    <row r="97" spans="1:16" ht="24.75">
      <c r="A97" s="10" t="s">
        <v>437</v>
      </c>
      <c r="B97" s="17" t="s">
        <v>17</v>
      </c>
      <c r="C97" s="8" t="s">
        <v>46</v>
      </c>
      <c r="D97" s="8">
        <v>0.03</v>
      </c>
      <c r="E97" s="8">
        <v>0.03</v>
      </c>
      <c r="F97" s="52">
        <f>Patient!C9*Patient!C7*IF(Patient!C2="Male",D97,E97)</f>
        <v>99.173783998425932</v>
      </c>
      <c r="G97" s="17" t="s">
        <v>270</v>
      </c>
      <c r="H97" s="17"/>
      <c r="I97" s="17" t="s">
        <v>49</v>
      </c>
      <c r="J97" s="51"/>
      <c r="K97" s="47" t="s">
        <v>395</v>
      </c>
      <c r="L97" s="49"/>
      <c r="M97" s="5" t="s">
        <v>356</v>
      </c>
      <c r="N97" s="5" t="s">
        <v>71</v>
      </c>
      <c r="O97" s="14" t="s">
        <v>357</v>
      </c>
      <c r="P97" s="14">
        <v>1</v>
      </c>
    </row>
    <row r="98" spans="1:16">
      <c r="A98" s="10" t="s">
        <v>438</v>
      </c>
      <c r="B98" s="17" t="s">
        <v>309</v>
      </c>
      <c r="C98" s="8" t="s">
        <v>46</v>
      </c>
      <c r="D98" s="8">
        <v>1</v>
      </c>
      <c r="E98" s="8">
        <v>1</v>
      </c>
      <c r="F98" s="8">
        <f>Patient!C9*Patient!C6*IF(Patient!C2="Male",D98,E98)/60</f>
        <v>56</v>
      </c>
      <c r="G98" s="17" t="s">
        <v>270</v>
      </c>
      <c r="H98" s="17"/>
      <c r="I98" s="17" t="s">
        <v>49</v>
      </c>
      <c r="J98" s="51"/>
      <c r="K98" s="25"/>
      <c r="L98" s="49"/>
      <c r="M98" s="5" t="s">
        <v>356</v>
      </c>
      <c r="N98" s="5" t="s">
        <v>71</v>
      </c>
      <c r="O98" s="14" t="s">
        <v>357</v>
      </c>
      <c r="P98" s="14"/>
    </row>
    <row r="99" spans="1:16" ht="24.75">
      <c r="A99" s="10" t="s">
        <v>439</v>
      </c>
      <c r="B99" s="17" t="s">
        <v>17</v>
      </c>
      <c r="C99" s="8" t="s">
        <v>46</v>
      </c>
      <c r="D99" s="8">
        <v>0.02</v>
      </c>
      <c r="E99" s="8">
        <v>0.02</v>
      </c>
      <c r="F99" s="52">
        <f>Patient!C9*Patient!C7*IF(Patient!C2="Male",D99,E99)</f>
        <v>66.115855998950622</v>
      </c>
      <c r="G99" s="17" t="s">
        <v>270</v>
      </c>
      <c r="H99" s="17"/>
      <c r="I99" s="17" t="s">
        <v>49</v>
      </c>
      <c r="J99" s="51"/>
      <c r="K99" s="47" t="s">
        <v>395</v>
      </c>
      <c r="L99" s="49"/>
      <c r="M99" s="5" t="s">
        <v>356</v>
      </c>
      <c r="N99" s="5" t="s">
        <v>71</v>
      </c>
      <c r="O99" s="14" t="s">
        <v>357</v>
      </c>
      <c r="P99" s="14">
        <v>1</v>
      </c>
    </row>
    <row r="100" spans="1:16">
      <c r="A100" s="10" t="s">
        <v>440</v>
      </c>
      <c r="B100" s="17" t="s">
        <v>309</v>
      </c>
      <c r="C100" s="8" t="s">
        <v>46</v>
      </c>
      <c r="D100" s="8">
        <v>1</v>
      </c>
      <c r="E100" s="8">
        <v>1</v>
      </c>
      <c r="F100" s="8">
        <f>Patient!C9*Patient!C6*IF(Patient!C2="Male",D100,E100)/60</f>
        <v>56</v>
      </c>
      <c r="G100" s="17" t="s">
        <v>270</v>
      </c>
      <c r="H100" s="17"/>
      <c r="I100" s="17" t="s">
        <v>49</v>
      </c>
      <c r="J100" s="51"/>
      <c r="K100" s="25"/>
      <c r="L100" s="49"/>
      <c r="M100" s="5" t="s">
        <v>356</v>
      </c>
      <c r="N100" s="5" t="s">
        <v>71</v>
      </c>
      <c r="O100" s="14" t="s">
        <v>357</v>
      </c>
      <c r="P100" s="14"/>
    </row>
    <row r="101" spans="1:16" ht="24.75">
      <c r="A101" s="10" t="s">
        <v>441</v>
      </c>
      <c r="B101" s="17" t="s">
        <v>17</v>
      </c>
      <c r="C101" s="8" t="s">
        <v>46</v>
      </c>
      <c r="D101" s="8">
        <v>5.5E-2</v>
      </c>
      <c r="E101" s="8">
        <v>5.5E-2</v>
      </c>
      <c r="F101" s="52">
        <f>Patient!C9*Patient!C7*IF(Patient!C2="Male",D101,E101)</f>
        <v>181.8186039971142</v>
      </c>
      <c r="G101" s="17" t="s">
        <v>270</v>
      </c>
      <c r="H101" s="17"/>
      <c r="I101" s="17" t="s">
        <v>49</v>
      </c>
      <c r="J101" s="17"/>
      <c r="K101" s="47" t="s">
        <v>395</v>
      </c>
      <c r="L101" s="49"/>
      <c r="M101" s="5" t="s">
        <v>356</v>
      </c>
      <c r="N101" s="5" t="s">
        <v>71</v>
      </c>
      <c r="O101" s="14" t="s">
        <v>357</v>
      </c>
      <c r="P101" s="14">
        <v>1</v>
      </c>
    </row>
    <row r="102" spans="1:16">
      <c r="A102" s="10" t="s">
        <v>442</v>
      </c>
      <c r="B102" s="17" t="s">
        <v>309</v>
      </c>
      <c r="C102" s="8" t="s">
        <v>46</v>
      </c>
      <c r="D102" s="8">
        <v>1</v>
      </c>
      <c r="E102" s="8">
        <v>1</v>
      </c>
      <c r="F102" s="8">
        <f>Patient!C9*Patient!C6*IF(Patient!C2="Male",D102,E102)/60</f>
        <v>56</v>
      </c>
      <c r="G102" s="17" t="s">
        <v>270</v>
      </c>
      <c r="H102" s="17"/>
      <c r="I102" s="17" t="s">
        <v>49</v>
      </c>
      <c r="J102" s="17"/>
      <c r="K102" s="25"/>
      <c r="L102" s="49"/>
      <c r="M102" s="5" t="s">
        <v>356</v>
      </c>
      <c r="N102" s="5" t="s">
        <v>71</v>
      </c>
      <c r="O102" s="14" t="s">
        <v>357</v>
      </c>
      <c r="P102" s="14"/>
    </row>
    <row r="103" spans="1:16" ht="24.75">
      <c r="A103" s="10" t="s">
        <v>443</v>
      </c>
      <c r="B103" s="17" t="s">
        <v>17</v>
      </c>
      <c r="C103" s="8" t="s">
        <v>46</v>
      </c>
      <c r="D103" s="8">
        <v>0.03</v>
      </c>
      <c r="E103" s="8">
        <v>0.03</v>
      </c>
      <c r="F103" s="52">
        <f>Patient!C7*IF(Patient!C2="Male",D103,E103)</f>
        <v>165.28963999737655</v>
      </c>
      <c r="G103" s="17" t="s">
        <v>270</v>
      </c>
      <c r="H103" s="17"/>
      <c r="I103" s="17" t="s">
        <v>49</v>
      </c>
      <c r="J103" s="17"/>
      <c r="K103" s="47" t="s">
        <v>402</v>
      </c>
      <c r="L103" s="49"/>
      <c r="M103" s="5" t="s">
        <v>356</v>
      </c>
      <c r="N103" s="5" t="s">
        <v>71</v>
      </c>
      <c r="O103" s="14" t="s">
        <v>357</v>
      </c>
      <c r="P103" s="14"/>
    </row>
    <row r="104" spans="1:16">
      <c r="A104" s="10" t="s">
        <v>444</v>
      </c>
      <c r="B104" s="17" t="s">
        <v>309</v>
      </c>
      <c r="C104" s="8" t="s">
        <v>46</v>
      </c>
      <c r="D104" s="8">
        <v>0.05</v>
      </c>
      <c r="E104" s="8">
        <v>0.05</v>
      </c>
      <c r="F104" s="52">
        <f>Patient!C6*IF(Patient!C2="Male",D104,E104)/60</f>
        <v>4.666666666666667</v>
      </c>
      <c r="G104" s="17" t="s">
        <v>270</v>
      </c>
      <c r="H104" s="17"/>
      <c r="I104" s="17" t="s">
        <v>49</v>
      </c>
      <c r="J104" s="17"/>
      <c r="K104" s="25"/>
      <c r="L104" s="49"/>
      <c r="M104" s="5" t="s">
        <v>356</v>
      </c>
      <c r="N104" s="5" t="s">
        <v>71</v>
      </c>
      <c r="O104" s="14" t="s">
        <v>357</v>
      </c>
      <c r="P104" s="14"/>
    </row>
    <row r="105" spans="1:16">
      <c r="A105" s="10" t="s">
        <v>445</v>
      </c>
      <c r="B105" s="17" t="s">
        <v>17</v>
      </c>
      <c r="C105" s="8" t="s">
        <v>46</v>
      </c>
      <c r="D105" s="8">
        <v>3.7999999999999999E-2</v>
      </c>
      <c r="E105" s="8">
        <v>3.7999999999999999E-2</v>
      </c>
      <c r="F105" s="50">
        <f>Patient!C7*IF(Patient!C2="Male",D105,E105)</f>
        <v>209.36687733001028</v>
      </c>
      <c r="G105" s="17" t="s">
        <v>270</v>
      </c>
      <c r="H105" s="17"/>
      <c r="I105" s="17" t="s">
        <v>49</v>
      </c>
      <c r="J105" s="17"/>
      <c r="K105" s="25"/>
      <c r="L105" s="49"/>
      <c r="M105" s="5" t="s">
        <v>356</v>
      </c>
      <c r="N105" s="5" t="s">
        <v>71</v>
      </c>
      <c r="O105" s="14" t="s">
        <v>357</v>
      </c>
      <c r="P105" s="14"/>
    </row>
    <row r="106" spans="1:16">
      <c r="A106" s="10" t="s">
        <v>446</v>
      </c>
      <c r="B106" s="17" t="s">
        <v>309</v>
      </c>
      <c r="C106" s="8" t="s">
        <v>46</v>
      </c>
      <c r="D106" s="8">
        <v>0.1</v>
      </c>
      <c r="E106" s="8">
        <v>0.11</v>
      </c>
      <c r="F106" s="50">
        <f>Patient!C6*IF(Patient!C2="Male",D106,E106)/60</f>
        <v>9.3333333333333339</v>
      </c>
      <c r="G106" s="17" t="s">
        <v>270</v>
      </c>
      <c r="H106" s="17"/>
      <c r="I106" s="17" t="s">
        <v>49</v>
      </c>
      <c r="J106" s="17"/>
      <c r="K106" s="25"/>
      <c r="L106" s="49"/>
      <c r="M106" s="5" t="s">
        <v>356</v>
      </c>
      <c r="N106" s="5" t="s">
        <v>71</v>
      </c>
      <c r="O106" s="14" t="s">
        <v>357</v>
      </c>
      <c r="P106" s="14"/>
    </row>
    <row r="107" spans="1:16">
      <c r="A107" s="10" t="s">
        <v>447</v>
      </c>
      <c r="B107" s="17" t="s">
        <v>17</v>
      </c>
      <c r="C107" s="8" t="s">
        <v>46</v>
      </c>
      <c r="D107" s="8">
        <v>0.01</v>
      </c>
      <c r="E107" s="8">
        <v>0.01</v>
      </c>
      <c r="F107" s="50">
        <f>Patient!C7*IF(Patient!C2="Male",D107,E107)</f>
        <v>55.096546665792182</v>
      </c>
      <c r="G107" s="17" t="s">
        <v>270</v>
      </c>
      <c r="H107" s="17"/>
      <c r="I107" s="17" t="s">
        <v>49</v>
      </c>
      <c r="J107" s="17"/>
      <c r="K107" s="25"/>
      <c r="L107" s="49"/>
      <c r="M107" s="5" t="s">
        <v>356</v>
      </c>
      <c r="N107" s="5" t="s">
        <v>71</v>
      </c>
      <c r="O107" s="14" t="s">
        <v>357</v>
      </c>
      <c r="P107" s="14"/>
    </row>
    <row r="108" spans="1:16">
      <c r="A108" s="10" t="s">
        <v>448</v>
      </c>
      <c r="B108" s="17" t="s">
        <v>309</v>
      </c>
      <c r="C108" s="8" t="s">
        <v>46</v>
      </c>
      <c r="D108" s="8">
        <v>0.01</v>
      </c>
      <c r="E108" s="8">
        <v>0.01</v>
      </c>
      <c r="F108" s="50">
        <f>Patient!C6*IF(Patient!C2="Male",D108,E108)/60</f>
        <v>0.93333333333333335</v>
      </c>
      <c r="G108" s="17" t="s">
        <v>270</v>
      </c>
      <c r="H108" s="8"/>
      <c r="I108" s="17" t="s">
        <v>49</v>
      </c>
      <c r="J108" s="8"/>
      <c r="K108" s="47" t="s">
        <v>449</v>
      </c>
      <c r="L108" s="49"/>
      <c r="M108" s="5" t="s">
        <v>356</v>
      </c>
      <c r="N108" s="5" t="s">
        <v>71</v>
      </c>
      <c r="O108" s="14" t="s">
        <v>357</v>
      </c>
      <c r="P108" s="14"/>
    </row>
    <row r="109" spans="1:16">
      <c r="A109" s="10" t="s">
        <v>450</v>
      </c>
      <c r="B109" s="17" t="s">
        <v>17</v>
      </c>
      <c r="C109" s="8" t="s">
        <v>46</v>
      </c>
      <c r="D109" s="8">
        <v>1.4E-2</v>
      </c>
      <c r="E109" s="8">
        <v>1.4E-2</v>
      </c>
      <c r="F109" s="50">
        <f>Patient!C7*IF(Patient!C2="Male",D109,E109)</f>
        <v>77.135165332109054</v>
      </c>
      <c r="G109" s="17" t="s">
        <v>270</v>
      </c>
      <c r="H109" s="17"/>
      <c r="I109" s="17" t="s">
        <v>49</v>
      </c>
      <c r="J109" s="51"/>
      <c r="K109" s="25"/>
      <c r="L109" s="49"/>
      <c r="M109" s="5" t="s">
        <v>356</v>
      </c>
      <c r="N109" s="5" t="s">
        <v>71</v>
      </c>
      <c r="O109" s="14" t="s">
        <v>357</v>
      </c>
      <c r="P109" s="14"/>
    </row>
    <row r="110" spans="1:16">
      <c r="A110" s="10" t="s">
        <v>451</v>
      </c>
      <c r="B110" s="17" t="s">
        <v>309</v>
      </c>
      <c r="C110" s="8" t="s">
        <v>46</v>
      </c>
      <c r="D110" s="8">
        <v>0.03</v>
      </c>
      <c r="E110" s="8">
        <v>0.03</v>
      </c>
      <c r="F110" s="50">
        <f>Patient!C6*IF(Patient!C2="Male",D110,E110)/60</f>
        <v>2.8</v>
      </c>
      <c r="G110" s="17" t="s">
        <v>270</v>
      </c>
      <c r="H110" s="17"/>
      <c r="I110" s="17" t="s">
        <v>49</v>
      </c>
      <c r="J110" s="51"/>
      <c r="K110" s="25"/>
      <c r="L110" s="49"/>
      <c r="M110" s="5" t="s">
        <v>356</v>
      </c>
      <c r="N110" s="5" t="s">
        <v>71</v>
      </c>
      <c r="O110" s="14" t="s">
        <v>357</v>
      </c>
      <c r="P110" s="14"/>
    </row>
    <row r="111" spans="1:16" ht="24.75">
      <c r="A111" s="10" t="s">
        <v>452</v>
      </c>
      <c r="B111" s="17" t="s">
        <v>17</v>
      </c>
      <c r="C111" s="8" t="s">
        <v>46</v>
      </c>
      <c r="D111" s="8">
        <v>0.17499999999999999</v>
      </c>
      <c r="E111" s="8">
        <v>0.17499999999999999</v>
      </c>
      <c r="F111" s="52">
        <f>Patient!C7*IF(Patient!C2="Male",D111,E111)</f>
        <v>964.18956665136318</v>
      </c>
      <c r="G111" s="17" t="s">
        <v>270</v>
      </c>
      <c r="H111" s="26"/>
      <c r="I111" s="17" t="s">
        <v>49</v>
      </c>
      <c r="J111" s="5"/>
      <c r="K111" s="47" t="s">
        <v>402</v>
      </c>
      <c r="L111" s="56"/>
      <c r="M111" s="5" t="s">
        <v>356</v>
      </c>
      <c r="N111" s="5" t="s">
        <v>71</v>
      </c>
      <c r="O111" s="14" t="s">
        <v>357</v>
      </c>
      <c r="P111" s="14"/>
    </row>
    <row r="112" spans="1:16">
      <c r="A112" s="10" t="s">
        <v>453</v>
      </c>
      <c r="B112" s="17" t="s">
        <v>309</v>
      </c>
      <c r="C112" s="8" t="s">
        <v>46</v>
      </c>
      <c r="D112" s="8">
        <v>1</v>
      </c>
      <c r="E112" s="8">
        <v>1</v>
      </c>
      <c r="F112" s="52">
        <f>Patient!C6*IF(Patient!C2="Male",D112,E112)/60</f>
        <v>93.333333333333329</v>
      </c>
      <c r="G112" s="17" t="s">
        <v>270</v>
      </c>
      <c r="H112" s="26"/>
      <c r="I112" s="17" t="s">
        <v>49</v>
      </c>
      <c r="J112" s="5"/>
      <c r="K112" s="33"/>
      <c r="L112" s="56"/>
      <c r="M112" s="5" t="s">
        <v>356</v>
      </c>
      <c r="N112" s="5" t="s">
        <v>71</v>
      </c>
      <c r="O112" s="14" t="s">
        <v>357</v>
      </c>
      <c r="P112" s="14"/>
    </row>
  </sheetData>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59"/>
  <sheetViews>
    <sheetView topLeftCell="A45" zoomScaleNormal="100" workbookViewId="0">
      <pane xSplit="1" topLeftCell="B1" activePane="topRight" state="frozen"/>
      <selection pane="topRight" activeCell="A69" sqref="A69"/>
    </sheetView>
  </sheetViews>
  <sheetFormatPr defaultColWidth="8.5703125" defaultRowHeight="15"/>
  <cols>
    <col min="1" max="1" width="39.85546875" customWidth="1"/>
    <col min="4" max="4" width="8.42578125" customWidth="1"/>
    <col min="5" max="5" width="24.5703125" customWidth="1"/>
    <col min="6" max="6" width="9.140625" customWidth="1"/>
    <col min="7" max="7" width="13" customWidth="1"/>
    <col min="8" max="8" width="34.42578125" customWidth="1"/>
    <col min="9" max="9" width="48.7109375" customWidth="1"/>
    <col min="10" max="10" width="7.7109375" customWidth="1"/>
    <col min="11" max="11" width="31.5703125" bestFit="1" customWidth="1"/>
    <col min="12" max="12" width="14.140625" customWidth="1"/>
    <col min="13" max="13" width="19.42578125" customWidth="1"/>
  </cols>
  <sheetData>
    <row r="1" spans="1:14" ht="24">
      <c r="A1" s="3" t="s">
        <v>30</v>
      </c>
      <c r="B1" s="9" t="s">
        <v>1</v>
      </c>
      <c r="C1" s="9" t="s">
        <v>31</v>
      </c>
      <c r="D1" s="9" t="s">
        <v>34</v>
      </c>
      <c r="E1" s="9" t="s">
        <v>3</v>
      </c>
      <c r="F1" s="9" t="s">
        <v>35</v>
      </c>
      <c r="G1" s="57" t="s">
        <v>36</v>
      </c>
      <c r="H1" s="9" t="s">
        <v>37</v>
      </c>
      <c r="I1" s="9" t="s">
        <v>38</v>
      </c>
      <c r="J1" s="29" t="s">
        <v>39</v>
      </c>
      <c r="K1" s="9" t="s">
        <v>40</v>
      </c>
      <c r="L1" s="9" t="s">
        <v>41</v>
      </c>
      <c r="M1" s="9" t="s">
        <v>42</v>
      </c>
      <c r="N1" s="9" t="s">
        <v>43</v>
      </c>
    </row>
    <row r="2" spans="1:14" ht="24">
      <c r="A2" s="48" t="s">
        <v>257</v>
      </c>
      <c r="B2" s="8"/>
      <c r="C2" s="8"/>
      <c r="D2" s="8"/>
      <c r="E2" s="8"/>
      <c r="F2" s="8"/>
      <c r="G2" s="8" t="s">
        <v>49</v>
      </c>
      <c r="H2" s="26" t="s">
        <v>258</v>
      </c>
      <c r="I2" s="25"/>
      <c r="J2" s="49"/>
      <c r="K2" s="5" t="s">
        <v>1167</v>
      </c>
      <c r="L2" s="5"/>
      <c r="M2" s="14" t="s">
        <v>52</v>
      </c>
      <c r="N2" s="14">
        <v>2</v>
      </c>
    </row>
    <row r="3" spans="1:14" ht="24">
      <c r="A3" s="10" t="s">
        <v>16</v>
      </c>
      <c r="B3" s="8" t="s">
        <v>17</v>
      </c>
      <c r="C3" s="8" t="s">
        <v>46</v>
      </c>
      <c r="D3" s="20">
        <v>5674</v>
      </c>
      <c r="E3" s="8" t="s">
        <v>15</v>
      </c>
      <c r="F3" s="8" t="s">
        <v>260</v>
      </c>
      <c r="G3" s="8" t="s">
        <v>49</v>
      </c>
      <c r="H3" s="5"/>
      <c r="I3" s="8" t="s">
        <v>261</v>
      </c>
      <c r="J3" s="49"/>
      <c r="K3" s="5" t="s">
        <v>1167</v>
      </c>
      <c r="L3" s="5" t="s">
        <v>57</v>
      </c>
      <c r="M3" s="14" t="s">
        <v>52</v>
      </c>
      <c r="N3" s="14"/>
    </row>
    <row r="4" spans="1:14" ht="36">
      <c r="A4" s="10" t="s">
        <v>18</v>
      </c>
      <c r="B4" s="8" t="s">
        <v>262</v>
      </c>
      <c r="C4" s="8" t="s">
        <v>46</v>
      </c>
      <c r="D4" s="20">
        <v>3</v>
      </c>
      <c r="E4" s="8" t="s">
        <v>15</v>
      </c>
      <c r="F4" s="8" t="s">
        <v>263</v>
      </c>
      <c r="G4" s="8" t="s">
        <v>49</v>
      </c>
      <c r="H4" s="26" t="s">
        <v>264</v>
      </c>
      <c r="I4" s="8"/>
      <c r="J4" s="49"/>
      <c r="K4" s="5" t="s">
        <v>1167</v>
      </c>
      <c r="L4" s="5" t="s">
        <v>71</v>
      </c>
      <c r="M4" s="14" t="s">
        <v>52</v>
      </c>
      <c r="N4" s="14">
        <v>1</v>
      </c>
    </row>
    <row r="5" spans="1:14">
      <c r="A5" s="10" t="s">
        <v>13</v>
      </c>
      <c r="B5" s="8" t="s">
        <v>14</v>
      </c>
      <c r="C5" s="8" t="s">
        <v>46</v>
      </c>
      <c r="D5" s="20">
        <v>5600</v>
      </c>
      <c r="E5" s="8" t="s">
        <v>15</v>
      </c>
      <c r="F5" s="8" t="s">
        <v>263</v>
      </c>
      <c r="G5" s="8" t="s">
        <v>49</v>
      </c>
      <c r="H5" s="5"/>
      <c r="I5" s="8"/>
      <c r="J5" s="49"/>
      <c r="K5" s="5" t="s">
        <v>1167</v>
      </c>
      <c r="L5" s="5" t="s">
        <v>57</v>
      </c>
      <c r="M5" s="14" t="s">
        <v>52</v>
      </c>
      <c r="N5" s="14"/>
    </row>
    <row r="6" spans="1:14" ht="48">
      <c r="A6" s="48" t="s">
        <v>265</v>
      </c>
      <c r="B6" s="17" t="s">
        <v>200</v>
      </c>
      <c r="C6" s="8" t="s">
        <v>46</v>
      </c>
      <c r="D6" s="20" t="s">
        <v>266</v>
      </c>
      <c r="E6" s="17" t="s">
        <v>91</v>
      </c>
      <c r="F6" s="8" t="s">
        <v>267</v>
      </c>
      <c r="G6" s="8" t="s">
        <v>49</v>
      </c>
      <c r="H6" s="26" t="s">
        <v>258</v>
      </c>
      <c r="I6" s="17" t="s">
        <v>268</v>
      </c>
      <c r="J6" s="49"/>
      <c r="K6" s="5" t="s">
        <v>1167</v>
      </c>
      <c r="L6" s="5"/>
      <c r="M6" s="14" t="s">
        <v>52</v>
      </c>
      <c r="N6" s="14">
        <v>3</v>
      </c>
    </row>
    <row r="7" spans="1:14">
      <c r="A7" s="10" t="s">
        <v>269</v>
      </c>
      <c r="B7" s="8" t="s">
        <v>14</v>
      </c>
      <c r="C7" s="8" t="s">
        <v>46</v>
      </c>
      <c r="D7" s="50">
        <v>638.4</v>
      </c>
      <c r="E7" s="17" t="s">
        <v>270</v>
      </c>
      <c r="F7" s="8"/>
      <c r="G7" s="8" t="s">
        <v>49</v>
      </c>
      <c r="H7" s="26"/>
      <c r="I7" s="17"/>
      <c r="J7" s="49"/>
      <c r="K7" s="5" t="s">
        <v>1167</v>
      </c>
      <c r="L7" s="5" t="s">
        <v>57</v>
      </c>
      <c r="M7" s="14" t="s">
        <v>52</v>
      </c>
      <c r="N7" s="14">
        <v>1</v>
      </c>
    </row>
    <row r="8" spans="1:14">
      <c r="A8" s="10" t="s">
        <v>271</v>
      </c>
      <c r="B8" s="17" t="s">
        <v>200</v>
      </c>
      <c r="C8" s="8" t="s">
        <v>46</v>
      </c>
      <c r="D8" s="20" t="s">
        <v>272</v>
      </c>
      <c r="E8" s="17" t="s">
        <v>273</v>
      </c>
      <c r="F8" s="8"/>
      <c r="G8" s="8" t="s">
        <v>49</v>
      </c>
      <c r="H8" s="26"/>
      <c r="I8" s="17"/>
      <c r="J8" s="49"/>
      <c r="K8" s="5" t="s">
        <v>1167</v>
      </c>
      <c r="L8" s="5" t="s">
        <v>71</v>
      </c>
      <c r="M8" s="14" t="s">
        <v>52</v>
      </c>
      <c r="N8" s="14">
        <v>2</v>
      </c>
    </row>
    <row r="9" spans="1:14">
      <c r="A9" s="10" t="s">
        <v>277</v>
      </c>
      <c r="B9" s="8" t="s">
        <v>200</v>
      </c>
      <c r="C9" s="8" t="s">
        <v>46</v>
      </c>
      <c r="D9" s="20" t="s">
        <v>278</v>
      </c>
      <c r="E9" s="17" t="s">
        <v>91</v>
      </c>
      <c r="F9" s="8" t="s">
        <v>267</v>
      </c>
      <c r="G9" s="8" t="s">
        <v>49</v>
      </c>
      <c r="H9" s="8"/>
      <c r="I9" s="8" t="s">
        <v>279</v>
      </c>
      <c r="J9" s="49"/>
      <c r="K9" s="5" t="s">
        <v>1167</v>
      </c>
      <c r="L9" s="5" t="s">
        <v>71</v>
      </c>
      <c r="M9" s="14" t="s">
        <v>52</v>
      </c>
      <c r="N9" s="14">
        <v>2</v>
      </c>
    </row>
    <row r="10" spans="1:14">
      <c r="A10" s="10" t="s">
        <v>280</v>
      </c>
      <c r="B10" s="8" t="s">
        <v>200</v>
      </c>
      <c r="C10" s="8" t="s">
        <v>46</v>
      </c>
      <c r="D10" s="8" t="s">
        <v>281</v>
      </c>
      <c r="E10" s="17" t="s">
        <v>282</v>
      </c>
      <c r="F10" s="8"/>
      <c r="G10" s="8" t="s">
        <v>49</v>
      </c>
      <c r="H10" s="8"/>
      <c r="I10" s="8"/>
      <c r="J10" s="49"/>
      <c r="K10" s="5" t="s">
        <v>1167</v>
      </c>
      <c r="L10" s="5" t="s">
        <v>71</v>
      </c>
      <c r="M10" s="14" t="s">
        <v>52</v>
      </c>
      <c r="N10" s="14">
        <v>2</v>
      </c>
    </row>
    <row r="11" spans="1:14" ht="24.75">
      <c r="A11" s="10" t="s">
        <v>283</v>
      </c>
      <c r="B11" s="8" t="s">
        <v>200</v>
      </c>
      <c r="C11" s="8" t="s">
        <v>46</v>
      </c>
      <c r="D11" s="8" t="s">
        <v>284</v>
      </c>
      <c r="E11" s="17" t="s">
        <v>282</v>
      </c>
      <c r="F11" s="17"/>
      <c r="G11" s="8" t="s">
        <v>49</v>
      </c>
      <c r="H11" s="51"/>
      <c r="I11" s="25" t="s">
        <v>285</v>
      </c>
      <c r="J11" s="49"/>
      <c r="K11" s="5" t="s">
        <v>1167</v>
      </c>
      <c r="L11" s="5" t="s">
        <v>71</v>
      </c>
      <c r="M11" s="14" t="s">
        <v>52</v>
      </c>
      <c r="N11" s="14">
        <v>2</v>
      </c>
    </row>
    <row r="12" spans="1:14">
      <c r="A12" s="10" t="s">
        <v>286</v>
      </c>
      <c r="B12" s="8"/>
      <c r="C12" s="8" t="s">
        <v>46</v>
      </c>
      <c r="D12" s="20">
        <v>0.55000000000000004</v>
      </c>
      <c r="E12" s="8" t="s">
        <v>15</v>
      </c>
      <c r="F12" s="26"/>
      <c r="G12" s="8" t="s">
        <v>49</v>
      </c>
      <c r="H12" s="8"/>
      <c r="I12" s="8" t="s">
        <v>287</v>
      </c>
      <c r="J12" s="49"/>
      <c r="K12" s="5" t="s">
        <v>1167</v>
      </c>
      <c r="L12" s="5" t="s">
        <v>51</v>
      </c>
      <c r="M12" s="14" t="s">
        <v>52</v>
      </c>
      <c r="N12" s="14">
        <v>5</v>
      </c>
    </row>
    <row r="13" spans="1:14">
      <c r="A13" s="10" t="s">
        <v>288</v>
      </c>
      <c r="B13" s="8" t="s">
        <v>289</v>
      </c>
      <c r="C13" s="8" t="s">
        <v>46</v>
      </c>
      <c r="D13" s="20">
        <v>72</v>
      </c>
      <c r="E13" s="8" t="s">
        <v>15</v>
      </c>
      <c r="F13" s="8" t="s">
        <v>454</v>
      </c>
      <c r="G13" s="8" t="s">
        <v>49</v>
      </c>
      <c r="I13" s="8"/>
      <c r="J13" s="49"/>
      <c r="K13" s="5" t="s">
        <v>1167</v>
      </c>
      <c r="L13" s="5" t="s">
        <v>57</v>
      </c>
      <c r="M13" s="14" t="s">
        <v>52</v>
      </c>
      <c r="N13" s="14">
        <v>2</v>
      </c>
    </row>
    <row r="14" spans="1:14">
      <c r="A14" s="48" t="s">
        <v>292</v>
      </c>
      <c r="B14" s="8"/>
      <c r="C14" s="8"/>
      <c r="D14" s="8"/>
      <c r="E14" s="8"/>
      <c r="F14" s="8"/>
      <c r="G14" s="8" t="s">
        <v>49</v>
      </c>
      <c r="H14" s="8" t="s">
        <v>293</v>
      </c>
      <c r="I14" s="8"/>
      <c r="J14" s="49"/>
      <c r="K14" s="5" t="s">
        <v>1167</v>
      </c>
      <c r="L14" s="5"/>
      <c r="M14" s="14" t="s">
        <v>52</v>
      </c>
      <c r="N14" s="14"/>
    </row>
    <row r="15" spans="1:14" ht="24">
      <c r="A15" s="10" t="s">
        <v>294</v>
      </c>
      <c r="B15" s="8" t="s">
        <v>17</v>
      </c>
      <c r="C15" s="8" t="s">
        <v>46</v>
      </c>
      <c r="D15" s="8" t="s">
        <v>295</v>
      </c>
      <c r="E15" s="46" t="s">
        <v>296</v>
      </c>
      <c r="F15" s="8"/>
      <c r="G15" s="8" t="s">
        <v>49</v>
      </c>
      <c r="H15" s="8"/>
      <c r="I15" s="8" t="s">
        <v>297</v>
      </c>
      <c r="J15" s="49"/>
      <c r="K15" s="5" t="s">
        <v>1167</v>
      </c>
      <c r="L15" s="5" t="s">
        <v>71</v>
      </c>
      <c r="M15" s="14" t="s">
        <v>52</v>
      </c>
      <c r="N15" s="14">
        <v>3</v>
      </c>
    </row>
    <row r="16" spans="1:14">
      <c r="A16" s="10" t="s">
        <v>298</v>
      </c>
      <c r="B16" s="17" t="s">
        <v>200</v>
      </c>
      <c r="C16" s="8" t="s">
        <v>46</v>
      </c>
      <c r="D16" s="20" t="s">
        <v>299</v>
      </c>
      <c r="E16" s="17" t="s">
        <v>300</v>
      </c>
      <c r="F16" s="8"/>
      <c r="G16" s="8" t="s">
        <v>49</v>
      </c>
      <c r="H16" s="26" t="s">
        <v>301</v>
      </c>
      <c r="I16" s="17"/>
      <c r="J16" s="49"/>
      <c r="K16" s="5" t="s">
        <v>1167</v>
      </c>
      <c r="L16" s="5" t="s">
        <v>71</v>
      </c>
      <c r="M16" s="14" t="s">
        <v>52</v>
      </c>
      <c r="N16" s="14">
        <v>2</v>
      </c>
    </row>
    <row r="17" spans="1:14">
      <c r="A17" s="10" t="s">
        <v>302</v>
      </c>
      <c r="B17" s="8" t="s">
        <v>200</v>
      </c>
      <c r="C17" s="8" t="s">
        <v>46</v>
      </c>
      <c r="D17" s="8" t="s">
        <v>303</v>
      </c>
      <c r="E17" s="17" t="s">
        <v>91</v>
      </c>
      <c r="F17" s="8" t="s">
        <v>267</v>
      </c>
      <c r="G17" s="8" t="s">
        <v>49</v>
      </c>
      <c r="H17" s="8"/>
      <c r="I17" s="8" t="s">
        <v>279</v>
      </c>
      <c r="J17" s="49"/>
      <c r="K17" s="5" t="s">
        <v>1167</v>
      </c>
      <c r="L17" s="5" t="s">
        <v>71</v>
      </c>
      <c r="M17" s="14" t="s">
        <v>52</v>
      </c>
      <c r="N17" s="14">
        <v>2</v>
      </c>
    </row>
    <row r="18" spans="1:14">
      <c r="A18" s="48" t="s">
        <v>304</v>
      </c>
      <c r="B18" s="8"/>
      <c r="C18" s="8"/>
      <c r="D18" s="8"/>
      <c r="E18" s="8"/>
      <c r="F18" s="8"/>
      <c r="G18" s="8" t="s">
        <v>49</v>
      </c>
      <c r="H18" s="8" t="s">
        <v>305</v>
      </c>
      <c r="I18" s="8"/>
      <c r="J18" s="49"/>
      <c r="K18" s="5" t="s">
        <v>1167</v>
      </c>
      <c r="L18" s="5"/>
      <c r="M18" s="14" t="s">
        <v>52</v>
      </c>
      <c r="N18" s="14"/>
    </row>
    <row r="19" spans="1:14">
      <c r="A19" s="48" t="s">
        <v>306</v>
      </c>
      <c r="B19" s="8"/>
      <c r="C19" s="8"/>
      <c r="D19" s="8"/>
      <c r="E19" s="8"/>
      <c r="F19" s="8"/>
      <c r="G19" s="8" t="s">
        <v>49</v>
      </c>
      <c r="H19" s="8" t="s">
        <v>305</v>
      </c>
      <c r="I19" s="8"/>
      <c r="J19" s="49"/>
      <c r="K19" s="5" t="s">
        <v>1167</v>
      </c>
      <c r="L19" s="5"/>
      <c r="M19" s="14" t="s">
        <v>52</v>
      </c>
      <c r="N19" s="14">
        <v>3</v>
      </c>
    </row>
    <row r="20" spans="1:14" ht="48">
      <c r="A20" s="10" t="s">
        <v>307</v>
      </c>
      <c r="B20" s="17" t="s">
        <v>200</v>
      </c>
      <c r="C20" s="8" t="s">
        <v>46</v>
      </c>
      <c r="D20" s="20" t="s">
        <v>266</v>
      </c>
      <c r="E20" s="17" t="s">
        <v>91</v>
      </c>
      <c r="F20" s="8" t="s">
        <v>267</v>
      </c>
      <c r="G20" s="8" t="s">
        <v>49</v>
      </c>
      <c r="H20" s="8"/>
      <c r="I20" s="17" t="s">
        <v>268</v>
      </c>
      <c r="J20" s="49"/>
      <c r="K20" s="5" t="s">
        <v>1167</v>
      </c>
      <c r="L20" s="5" t="s">
        <v>71</v>
      </c>
      <c r="M20" s="14" t="s">
        <v>52</v>
      </c>
      <c r="N20" s="14">
        <v>1</v>
      </c>
    </row>
    <row r="21" spans="1:14">
      <c r="A21" s="10" t="s">
        <v>308</v>
      </c>
      <c r="B21" s="8" t="s">
        <v>309</v>
      </c>
      <c r="C21" s="8" t="s">
        <v>46</v>
      </c>
      <c r="D21" s="52">
        <v>4.6666666666666696</v>
      </c>
      <c r="E21" s="8" t="s">
        <v>270</v>
      </c>
      <c r="F21" s="8"/>
      <c r="G21" s="8" t="s">
        <v>49</v>
      </c>
      <c r="H21" s="1"/>
      <c r="I21" s="8" t="s">
        <v>310</v>
      </c>
      <c r="J21" s="49"/>
      <c r="K21" s="5" t="s">
        <v>1167</v>
      </c>
      <c r="L21" s="5" t="s">
        <v>71</v>
      </c>
      <c r="M21" s="14" t="s">
        <v>52</v>
      </c>
      <c r="N21" s="14"/>
    </row>
    <row r="22" spans="1:14" ht="24">
      <c r="A22" s="48" t="s">
        <v>314</v>
      </c>
      <c r="B22" s="8"/>
      <c r="C22" s="8"/>
      <c r="D22" s="8"/>
      <c r="E22" s="8"/>
      <c r="F22" s="8"/>
      <c r="G22" s="8" t="s">
        <v>49</v>
      </c>
      <c r="H22" s="26" t="s">
        <v>258</v>
      </c>
      <c r="I22" s="8"/>
      <c r="J22" s="49"/>
      <c r="K22" s="5" t="s">
        <v>1167</v>
      </c>
      <c r="L22" s="5"/>
      <c r="M22" s="14" t="s">
        <v>52</v>
      </c>
      <c r="N22" s="14"/>
    </row>
    <row r="23" spans="1:14" ht="36">
      <c r="A23" s="10" t="s">
        <v>315</v>
      </c>
      <c r="B23" s="17" t="s">
        <v>200</v>
      </c>
      <c r="C23" s="8" t="s">
        <v>46</v>
      </c>
      <c r="D23" s="17" t="s">
        <v>281</v>
      </c>
      <c r="E23" s="17" t="s">
        <v>91</v>
      </c>
      <c r="F23" s="17" t="s">
        <v>267</v>
      </c>
      <c r="G23" s="8" t="s">
        <v>49</v>
      </c>
      <c r="H23" s="17"/>
      <c r="I23" s="17" t="s">
        <v>316</v>
      </c>
      <c r="J23" s="49"/>
      <c r="K23" s="5" t="s">
        <v>1167</v>
      </c>
      <c r="L23" s="5" t="s">
        <v>71</v>
      </c>
      <c r="M23" s="14" t="s">
        <v>52</v>
      </c>
      <c r="N23" s="14">
        <v>2</v>
      </c>
    </row>
    <row r="24" spans="1:14" ht="24">
      <c r="A24" s="10" t="s">
        <v>317</v>
      </c>
      <c r="B24" s="8" t="s">
        <v>200</v>
      </c>
      <c r="C24" s="8" t="s">
        <v>46</v>
      </c>
      <c r="D24" s="8" t="s">
        <v>318</v>
      </c>
      <c r="E24" s="17" t="s">
        <v>319</v>
      </c>
      <c r="F24" s="8" t="s">
        <v>320</v>
      </c>
      <c r="G24" s="8" t="s">
        <v>49</v>
      </c>
      <c r="H24" s="8"/>
      <c r="I24" s="8" t="s">
        <v>279</v>
      </c>
      <c r="J24" s="49"/>
      <c r="K24" s="5" t="s">
        <v>1167</v>
      </c>
      <c r="L24" s="5" t="s">
        <v>71</v>
      </c>
      <c r="M24" s="14" t="s">
        <v>52</v>
      </c>
      <c r="N24" s="14"/>
    </row>
    <row r="25" spans="1:14">
      <c r="A25" s="10" t="s">
        <v>321</v>
      </c>
      <c r="B25" s="8" t="s">
        <v>200</v>
      </c>
      <c r="C25" s="8" t="s">
        <v>46</v>
      </c>
      <c r="D25" s="8" t="s">
        <v>322</v>
      </c>
      <c r="E25" s="8" t="s">
        <v>282</v>
      </c>
      <c r="F25" s="8"/>
      <c r="G25" s="8" t="s">
        <v>49</v>
      </c>
      <c r="H25" s="8"/>
      <c r="I25" s="8"/>
      <c r="J25" s="49"/>
      <c r="K25" s="5" t="s">
        <v>1167</v>
      </c>
      <c r="L25" s="5" t="s">
        <v>71</v>
      </c>
      <c r="M25" s="14" t="s">
        <v>52</v>
      </c>
      <c r="N25" s="14"/>
    </row>
    <row r="26" spans="1:14">
      <c r="A26" s="48" t="s">
        <v>323</v>
      </c>
      <c r="B26" s="8"/>
      <c r="C26" s="8"/>
      <c r="D26" s="8"/>
      <c r="E26" s="8"/>
      <c r="F26" s="8"/>
      <c r="G26" s="8" t="s">
        <v>49</v>
      </c>
      <c r="H26" s="8"/>
      <c r="I26" s="8" t="s">
        <v>324</v>
      </c>
      <c r="J26" s="49"/>
      <c r="K26" s="5" t="s">
        <v>1167</v>
      </c>
      <c r="L26" s="5"/>
      <c r="M26" s="14" t="s">
        <v>52</v>
      </c>
      <c r="N26" s="14"/>
    </row>
    <row r="27" spans="1:14">
      <c r="A27" s="48" t="s">
        <v>325</v>
      </c>
      <c r="B27" s="8"/>
      <c r="C27" s="8"/>
      <c r="D27" s="53"/>
      <c r="E27" s="8"/>
      <c r="F27" s="8"/>
      <c r="G27" s="8" t="s">
        <v>49</v>
      </c>
      <c r="H27" s="8"/>
      <c r="I27" s="8" t="s">
        <v>324</v>
      </c>
      <c r="J27" s="49"/>
      <c r="K27" s="5" t="s">
        <v>1167</v>
      </c>
      <c r="L27" s="5"/>
      <c r="M27" s="14" t="s">
        <v>52</v>
      </c>
      <c r="N27" s="14"/>
    </row>
    <row r="28" spans="1:14">
      <c r="A28" s="10" t="s">
        <v>326</v>
      </c>
      <c r="B28" s="8" t="s">
        <v>200</v>
      </c>
      <c r="C28" s="8" t="s">
        <v>46</v>
      </c>
      <c r="D28" s="8" t="s">
        <v>327</v>
      </c>
      <c r="E28" s="17" t="s">
        <v>91</v>
      </c>
      <c r="F28" s="8" t="s">
        <v>267</v>
      </c>
      <c r="G28" s="8" t="s">
        <v>49</v>
      </c>
      <c r="H28" s="8"/>
      <c r="I28" s="8" t="s">
        <v>279</v>
      </c>
      <c r="J28" s="49"/>
      <c r="K28" s="5" t="s">
        <v>1167</v>
      </c>
      <c r="L28" s="5" t="s">
        <v>71</v>
      </c>
      <c r="M28" s="14" t="s">
        <v>52</v>
      </c>
      <c r="N28" s="14"/>
    </row>
    <row r="29" spans="1:14" ht="24">
      <c r="A29" s="10" t="s">
        <v>328</v>
      </c>
      <c r="B29" s="8" t="s">
        <v>329</v>
      </c>
      <c r="C29" s="8" t="s">
        <v>46</v>
      </c>
      <c r="D29" s="8">
        <v>0.14000000000000001</v>
      </c>
      <c r="E29" s="8" t="s">
        <v>15</v>
      </c>
      <c r="F29" s="8" t="s">
        <v>330</v>
      </c>
      <c r="G29" s="8" t="s">
        <v>49</v>
      </c>
      <c r="H29" s="8"/>
      <c r="I29" s="8"/>
      <c r="J29" s="49"/>
      <c r="K29" s="5" t="s">
        <v>1167</v>
      </c>
      <c r="L29" s="5" t="s">
        <v>140</v>
      </c>
      <c r="M29" s="14" t="s">
        <v>52</v>
      </c>
      <c r="N29" s="14">
        <v>3</v>
      </c>
    </row>
    <row r="30" spans="1:14" ht="36">
      <c r="A30" s="10" t="s">
        <v>331</v>
      </c>
      <c r="B30" s="8" t="s">
        <v>332</v>
      </c>
      <c r="C30" s="8" t="s">
        <v>46</v>
      </c>
      <c r="D30" s="8">
        <v>0.24</v>
      </c>
      <c r="E30" s="8" t="s">
        <v>15</v>
      </c>
      <c r="F30" s="8" t="s">
        <v>333</v>
      </c>
      <c r="G30" s="8" t="s">
        <v>49</v>
      </c>
      <c r="H30" s="8" t="s">
        <v>334</v>
      </c>
      <c r="I30" s="1"/>
      <c r="J30" s="49"/>
      <c r="K30" s="5" t="s">
        <v>1167</v>
      </c>
      <c r="L30" s="5" t="s">
        <v>140</v>
      </c>
      <c r="M30" s="14" t="s">
        <v>52</v>
      </c>
      <c r="N30" s="14">
        <v>3</v>
      </c>
    </row>
    <row r="31" spans="1:14" ht="36">
      <c r="A31" s="10" t="s">
        <v>335</v>
      </c>
      <c r="B31" s="8" t="s">
        <v>200</v>
      </c>
      <c r="C31" s="8" t="s">
        <v>46</v>
      </c>
      <c r="D31" s="8">
        <v>40</v>
      </c>
      <c r="E31" s="8" t="s">
        <v>15</v>
      </c>
      <c r="F31" s="8" t="s">
        <v>455</v>
      </c>
      <c r="G31" s="8" t="s">
        <v>49</v>
      </c>
      <c r="H31" s="8" t="s">
        <v>338</v>
      </c>
      <c r="I31" s="8" t="s">
        <v>456</v>
      </c>
      <c r="J31" s="49"/>
      <c r="K31" s="5" t="s">
        <v>1167</v>
      </c>
      <c r="L31" s="5" t="s">
        <v>71</v>
      </c>
      <c r="M31" s="14" t="s">
        <v>52</v>
      </c>
      <c r="N31" s="14"/>
    </row>
    <row r="32" spans="1:14" ht="24">
      <c r="A32" s="10" t="s">
        <v>340</v>
      </c>
      <c r="B32" s="8" t="s">
        <v>329</v>
      </c>
      <c r="C32" s="8" t="s">
        <v>46</v>
      </c>
      <c r="D32" s="8">
        <v>1</v>
      </c>
      <c r="E32" s="8" t="s">
        <v>15</v>
      </c>
      <c r="F32" s="8" t="s">
        <v>341</v>
      </c>
      <c r="G32" s="8" t="s">
        <v>49</v>
      </c>
      <c r="H32" s="8"/>
      <c r="I32" s="8" t="s">
        <v>342</v>
      </c>
      <c r="J32" s="49"/>
      <c r="K32" s="5" t="s">
        <v>1167</v>
      </c>
      <c r="L32" s="5" t="s">
        <v>71</v>
      </c>
      <c r="M32" s="14" t="s">
        <v>52</v>
      </c>
      <c r="N32" s="14">
        <v>3</v>
      </c>
    </row>
    <row r="33" spans="1:14">
      <c r="A33" s="10" t="s">
        <v>343</v>
      </c>
      <c r="B33" s="8" t="s">
        <v>200</v>
      </c>
      <c r="C33" s="8" t="s">
        <v>46</v>
      </c>
      <c r="D33" s="20" t="s">
        <v>344</v>
      </c>
      <c r="E33" s="17" t="s">
        <v>91</v>
      </c>
      <c r="F33" s="8" t="s">
        <v>267</v>
      </c>
      <c r="G33" s="8" t="s">
        <v>49</v>
      </c>
      <c r="H33" s="8"/>
      <c r="I33" s="8" t="s">
        <v>279</v>
      </c>
      <c r="J33" s="49"/>
      <c r="K33" s="5" t="s">
        <v>1167</v>
      </c>
      <c r="L33" s="5" t="s">
        <v>71</v>
      </c>
      <c r="M33" s="14" t="s">
        <v>52</v>
      </c>
      <c r="N33" s="14">
        <v>2</v>
      </c>
    </row>
    <row r="34" spans="1:14" ht="36.75">
      <c r="A34" s="10" t="s">
        <v>345</v>
      </c>
      <c r="B34" s="8" t="s">
        <v>200</v>
      </c>
      <c r="C34" s="8" t="s">
        <v>46</v>
      </c>
      <c r="D34" s="8" t="s">
        <v>344</v>
      </c>
      <c r="E34" s="17" t="s">
        <v>346</v>
      </c>
      <c r="F34" s="17" t="s">
        <v>347</v>
      </c>
      <c r="G34" s="8" t="s">
        <v>49</v>
      </c>
      <c r="H34" s="51"/>
      <c r="I34" s="25" t="s">
        <v>348</v>
      </c>
      <c r="J34" s="49"/>
      <c r="K34" s="5" t="s">
        <v>1167</v>
      </c>
      <c r="L34" s="5" t="s">
        <v>71</v>
      </c>
      <c r="M34" s="14" t="s">
        <v>52</v>
      </c>
      <c r="N34" s="14">
        <v>2</v>
      </c>
    </row>
    <row r="35" spans="1:14">
      <c r="A35" s="10" t="s">
        <v>349</v>
      </c>
      <c r="B35" s="8" t="s">
        <v>200</v>
      </c>
      <c r="C35" s="8" t="s">
        <v>46</v>
      </c>
      <c r="D35" s="8" t="s">
        <v>327</v>
      </c>
      <c r="E35" s="17" t="s">
        <v>282</v>
      </c>
      <c r="F35" s="8"/>
      <c r="G35" s="8" t="s">
        <v>49</v>
      </c>
      <c r="H35" s="8"/>
      <c r="I35" s="8"/>
      <c r="J35" s="49"/>
      <c r="K35" s="5" t="s">
        <v>1167</v>
      </c>
      <c r="L35" s="5" t="s">
        <v>71</v>
      </c>
      <c r="M35" s="14" t="s">
        <v>52</v>
      </c>
      <c r="N35" s="14">
        <v>2</v>
      </c>
    </row>
    <row r="36" spans="1:14" ht="24">
      <c r="A36" s="28" t="s">
        <v>353</v>
      </c>
      <c r="B36" s="3" t="s">
        <v>1</v>
      </c>
      <c r="C36" s="9" t="s">
        <v>31</v>
      </c>
      <c r="D36" s="9" t="s">
        <v>124</v>
      </c>
      <c r="E36" s="29" t="s">
        <v>125</v>
      </c>
      <c r="F36" s="29" t="s">
        <v>126</v>
      </c>
      <c r="G36" s="58" t="s">
        <v>36</v>
      </c>
      <c r="H36" s="3" t="s">
        <v>37</v>
      </c>
      <c r="I36" s="3" t="s">
        <v>38</v>
      </c>
      <c r="J36" s="29" t="s">
        <v>39</v>
      </c>
      <c r="K36" s="9" t="s">
        <v>40</v>
      </c>
      <c r="L36" s="9" t="s">
        <v>41</v>
      </c>
      <c r="M36" s="9" t="s">
        <v>42</v>
      </c>
      <c r="N36" s="9" t="s">
        <v>43</v>
      </c>
    </row>
    <row r="37" spans="1:14" ht="24.75">
      <c r="A37" s="10" t="s">
        <v>354</v>
      </c>
      <c r="B37" s="17" t="s">
        <v>17</v>
      </c>
      <c r="C37" s="8" t="s">
        <v>46</v>
      </c>
      <c r="D37" s="52">
        <v>283.7</v>
      </c>
      <c r="E37" s="17" t="s">
        <v>270</v>
      </c>
      <c r="F37" s="17"/>
      <c r="G37" s="17" t="s">
        <v>49</v>
      </c>
      <c r="H37" s="51"/>
      <c r="I37" s="47" t="s">
        <v>457</v>
      </c>
      <c r="J37" s="49"/>
      <c r="K37" s="5" t="s">
        <v>1168</v>
      </c>
      <c r="L37" s="5" t="s">
        <v>71</v>
      </c>
      <c r="M37" s="14" t="s">
        <v>357</v>
      </c>
      <c r="N37" s="14"/>
    </row>
    <row r="38" spans="1:14">
      <c r="A38" s="10" t="s">
        <v>358</v>
      </c>
      <c r="B38" s="17" t="s">
        <v>309</v>
      </c>
      <c r="C38" s="8" t="s">
        <v>46</v>
      </c>
      <c r="D38" s="52">
        <v>93.3333333333333</v>
      </c>
      <c r="E38" s="17" t="s">
        <v>270</v>
      </c>
      <c r="F38" s="17"/>
      <c r="G38" s="17" t="s">
        <v>49</v>
      </c>
      <c r="H38" s="51"/>
      <c r="I38" s="25"/>
      <c r="J38" s="49"/>
      <c r="K38" s="5" t="s">
        <v>1168</v>
      </c>
      <c r="L38" s="5" t="s">
        <v>71</v>
      </c>
      <c r="M38" s="14" t="s">
        <v>357</v>
      </c>
      <c r="N38" s="14"/>
    </row>
    <row r="39" spans="1:14">
      <c r="A39" s="10" t="s">
        <v>458</v>
      </c>
      <c r="B39" s="17" t="s">
        <v>17</v>
      </c>
      <c r="C39" s="8" t="s">
        <v>46</v>
      </c>
      <c r="D39" s="50">
        <v>28.37</v>
      </c>
      <c r="E39" s="17" t="s">
        <v>270</v>
      </c>
      <c r="F39" s="17"/>
      <c r="G39" s="17" t="s">
        <v>49</v>
      </c>
      <c r="H39" s="17"/>
      <c r="I39" s="33" t="s">
        <v>365</v>
      </c>
      <c r="J39" s="49"/>
      <c r="K39" s="5" t="s">
        <v>1168</v>
      </c>
      <c r="L39" s="5" t="s">
        <v>71</v>
      </c>
      <c r="M39" s="14" t="s">
        <v>357</v>
      </c>
      <c r="N39" s="14"/>
    </row>
    <row r="40" spans="1:14">
      <c r="A40" s="10" t="s">
        <v>459</v>
      </c>
      <c r="B40" s="17" t="s">
        <v>309</v>
      </c>
      <c r="C40" s="8" t="s">
        <v>46</v>
      </c>
      <c r="D40" s="50">
        <v>4.6666666666666696</v>
      </c>
      <c r="E40" s="17" t="s">
        <v>270</v>
      </c>
      <c r="F40" s="17"/>
      <c r="G40" s="17" t="s">
        <v>49</v>
      </c>
      <c r="H40" s="17"/>
      <c r="I40" s="25"/>
      <c r="J40" s="49"/>
      <c r="K40" s="5" t="s">
        <v>1168</v>
      </c>
      <c r="L40" s="5" t="s">
        <v>71</v>
      </c>
      <c r="M40" s="14" t="s">
        <v>357</v>
      </c>
      <c r="N40" s="14"/>
    </row>
    <row r="41" spans="1:14">
      <c r="A41" s="10" t="s">
        <v>364</v>
      </c>
      <c r="B41" s="17" t="s">
        <v>17</v>
      </c>
      <c r="C41" s="8" t="s">
        <v>46</v>
      </c>
      <c r="D41" s="50">
        <v>397.18</v>
      </c>
      <c r="E41" s="17" t="s">
        <v>460</v>
      </c>
      <c r="F41" s="17"/>
      <c r="G41" s="17" t="s">
        <v>49</v>
      </c>
      <c r="H41" s="17"/>
      <c r="I41" s="25"/>
      <c r="J41" s="49"/>
      <c r="K41" s="5" t="s">
        <v>1168</v>
      </c>
      <c r="L41" s="5" t="s">
        <v>71</v>
      </c>
      <c r="M41" s="14" t="s">
        <v>357</v>
      </c>
      <c r="N41" s="14"/>
    </row>
    <row r="42" spans="1:14">
      <c r="A42" s="10" t="s">
        <v>366</v>
      </c>
      <c r="B42" s="17" t="s">
        <v>309</v>
      </c>
      <c r="C42" s="8" t="s">
        <v>46</v>
      </c>
      <c r="D42" s="50">
        <v>4.6666666666666696</v>
      </c>
      <c r="E42" s="17" t="s">
        <v>460</v>
      </c>
      <c r="F42" s="17"/>
      <c r="G42" s="17" t="s">
        <v>49</v>
      </c>
      <c r="H42" s="17"/>
      <c r="I42" s="25"/>
      <c r="J42" s="49"/>
      <c r="K42" s="5" t="s">
        <v>1168</v>
      </c>
      <c r="L42" s="5" t="s">
        <v>71</v>
      </c>
      <c r="M42" s="14" t="s">
        <v>357</v>
      </c>
      <c r="N42" s="14"/>
    </row>
    <row r="43" spans="1:14">
      <c r="A43" s="10" t="s">
        <v>367</v>
      </c>
      <c r="B43" s="17" t="s">
        <v>17</v>
      </c>
      <c r="C43" s="8" t="s">
        <v>46</v>
      </c>
      <c r="D43" s="50">
        <v>283.7</v>
      </c>
      <c r="E43" s="17" t="s">
        <v>270</v>
      </c>
      <c r="F43" s="8"/>
      <c r="G43" s="17" t="s">
        <v>49</v>
      </c>
      <c r="H43" s="8"/>
      <c r="I43" s="25"/>
      <c r="J43" s="49"/>
      <c r="K43" s="5" t="s">
        <v>1168</v>
      </c>
      <c r="L43" s="5" t="s">
        <v>71</v>
      </c>
      <c r="M43" s="14" t="s">
        <v>357</v>
      </c>
      <c r="N43" s="14"/>
    </row>
    <row r="44" spans="1:14">
      <c r="A44" s="10" t="s">
        <v>368</v>
      </c>
      <c r="B44" s="17" t="s">
        <v>309</v>
      </c>
      <c r="C44" s="8" t="s">
        <v>46</v>
      </c>
      <c r="D44" s="50">
        <v>4.6666666666666696</v>
      </c>
      <c r="E44" s="17" t="s">
        <v>270</v>
      </c>
      <c r="F44" s="17"/>
      <c r="G44" s="17" t="s">
        <v>49</v>
      </c>
      <c r="H44" s="17"/>
      <c r="I44" s="25"/>
      <c r="J44" s="49"/>
      <c r="K44" s="5" t="s">
        <v>1168</v>
      </c>
      <c r="L44" s="5" t="s">
        <v>71</v>
      </c>
      <c r="M44" s="14" t="s">
        <v>357</v>
      </c>
      <c r="N44" s="14"/>
    </row>
    <row r="45" spans="1:14">
      <c r="A45" s="10" t="s">
        <v>461</v>
      </c>
      <c r="B45" s="17" t="s">
        <v>17</v>
      </c>
      <c r="C45" s="8" t="s">
        <v>46</v>
      </c>
      <c r="D45" s="50">
        <v>96.457999999999998</v>
      </c>
      <c r="E45" s="17" t="s">
        <v>460</v>
      </c>
      <c r="F45" s="17"/>
      <c r="G45" s="17" t="s">
        <v>49</v>
      </c>
      <c r="H45" s="17"/>
      <c r="I45" s="25" t="s">
        <v>462</v>
      </c>
      <c r="J45" s="49"/>
      <c r="K45" s="5" t="s">
        <v>1168</v>
      </c>
      <c r="L45" s="5" t="s">
        <v>71</v>
      </c>
      <c r="M45" s="14" t="s">
        <v>357</v>
      </c>
      <c r="N45" s="14"/>
    </row>
    <row r="46" spans="1:14">
      <c r="A46" s="10" t="s">
        <v>463</v>
      </c>
      <c r="B46" s="17" t="s">
        <v>309</v>
      </c>
      <c r="C46" s="8" t="s">
        <v>46</v>
      </c>
      <c r="D46" s="50">
        <v>15.3066666666667</v>
      </c>
      <c r="E46" s="17" t="s">
        <v>270</v>
      </c>
      <c r="F46" s="17"/>
      <c r="G46" s="17" t="s">
        <v>49</v>
      </c>
      <c r="H46" s="17"/>
      <c r="I46" s="25"/>
      <c r="J46" s="49"/>
      <c r="K46" s="5" t="s">
        <v>1168</v>
      </c>
      <c r="L46" s="5" t="s">
        <v>71</v>
      </c>
      <c r="M46" s="14" t="s">
        <v>357</v>
      </c>
      <c r="N46" s="14"/>
    </row>
    <row r="47" spans="1:14">
      <c r="A47" s="10" t="s">
        <v>464</v>
      </c>
      <c r="B47" s="17" t="s">
        <v>17</v>
      </c>
      <c r="C47" s="8" t="s">
        <v>46</v>
      </c>
      <c r="D47" s="52">
        <v>68.087999999999994</v>
      </c>
      <c r="E47" s="26" t="s">
        <v>270</v>
      </c>
      <c r="F47" s="17"/>
      <c r="G47" s="17" t="s">
        <v>49</v>
      </c>
      <c r="H47" s="17"/>
      <c r="I47" s="25"/>
      <c r="J47" s="49"/>
      <c r="K47" s="5" t="s">
        <v>1168</v>
      </c>
      <c r="L47" s="5" t="s">
        <v>71</v>
      </c>
      <c r="M47" s="14" t="s">
        <v>357</v>
      </c>
      <c r="N47" s="14"/>
    </row>
    <row r="48" spans="1:14">
      <c r="A48" s="10" t="s">
        <v>465</v>
      </c>
      <c r="B48" s="17" t="s">
        <v>309</v>
      </c>
      <c r="C48" s="8" t="s">
        <v>46</v>
      </c>
      <c r="D48" s="50">
        <v>10.64</v>
      </c>
      <c r="E48" s="17" t="s">
        <v>270</v>
      </c>
      <c r="F48" s="17"/>
      <c r="G48" s="17" t="s">
        <v>49</v>
      </c>
      <c r="H48" s="17"/>
      <c r="I48" s="25"/>
      <c r="J48" s="49"/>
      <c r="K48" s="5" t="s">
        <v>1168</v>
      </c>
      <c r="L48" s="5" t="s">
        <v>71</v>
      </c>
      <c r="M48" s="14" t="s">
        <v>357</v>
      </c>
      <c r="N48" s="14"/>
    </row>
    <row r="49" spans="1:14">
      <c r="A49" s="10" t="s">
        <v>466</v>
      </c>
      <c r="B49" s="17" t="s">
        <v>200</v>
      </c>
      <c r="C49" s="8" t="s">
        <v>46</v>
      </c>
      <c r="D49" s="50">
        <v>40</v>
      </c>
      <c r="E49" s="17" t="s">
        <v>363</v>
      </c>
      <c r="F49" s="17">
        <v>409</v>
      </c>
      <c r="G49" s="17" t="s">
        <v>49</v>
      </c>
      <c r="H49" s="17"/>
      <c r="I49" s="25"/>
      <c r="J49" s="49"/>
      <c r="K49" s="5" t="s">
        <v>1168</v>
      </c>
      <c r="L49" s="5" t="s">
        <v>71</v>
      </c>
      <c r="M49" s="14" t="s">
        <v>357</v>
      </c>
      <c r="N49" s="14">
        <v>2</v>
      </c>
    </row>
    <row r="50" spans="1:14">
      <c r="A50" s="10" t="s">
        <v>369</v>
      </c>
      <c r="B50" s="17" t="s">
        <v>17</v>
      </c>
      <c r="C50" s="8" t="s">
        <v>46</v>
      </c>
      <c r="D50" s="50">
        <v>113.48</v>
      </c>
      <c r="E50" s="17" t="s">
        <v>270</v>
      </c>
      <c r="F50" s="55"/>
      <c r="G50" s="17" t="s">
        <v>49</v>
      </c>
      <c r="H50" s="55"/>
      <c r="I50" s="25"/>
      <c r="J50" s="49"/>
      <c r="K50" s="5" t="s">
        <v>1168</v>
      </c>
      <c r="L50" s="5" t="s">
        <v>71</v>
      </c>
      <c r="M50" s="14" t="s">
        <v>357</v>
      </c>
      <c r="N50" s="14"/>
    </row>
    <row r="51" spans="1:14">
      <c r="A51" s="10" t="s">
        <v>370</v>
      </c>
      <c r="B51" s="17" t="s">
        <v>309</v>
      </c>
      <c r="C51" s="8" t="s">
        <v>46</v>
      </c>
      <c r="D51" s="50">
        <v>17.733333333333299</v>
      </c>
      <c r="E51" s="17" t="s">
        <v>270</v>
      </c>
      <c r="F51" s="17"/>
      <c r="G51" s="17" t="s">
        <v>49</v>
      </c>
      <c r="H51" s="17"/>
      <c r="I51" s="25"/>
      <c r="J51" s="49"/>
      <c r="K51" s="5" t="s">
        <v>1168</v>
      </c>
      <c r="L51" s="5" t="s">
        <v>71</v>
      </c>
      <c r="M51" s="14" t="s">
        <v>357</v>
      </c>
      <c r="N51" s="14"/>
    </row>
    <row r="52" spans="1:14">
      <c r="A52" s="10" t="s">
        <v>371</v>
      </c>
      <c r="B52" s="17" t="s">
        <v>17</v>
      </c>
      <c r="C52" s="8" t="s">
        <v>46</v>
      </c>
      <c r="D52" s="50">
        <v>114.6148</v>
      </c>
      <c r="E52" s="17" t="s">
        <v>270</v>
      </c>
      <c r="F52" s="17"/>
      <c r="G52" s="17" t="s">
        <v>49</v>
      </c>
      <c r="H52" s="17"/>
      <c r="I52" s="59"/>
      <c r="J52" s="49"/>
      <c r="K52" s="5" t="s">
        <v>1168</v>
      </c>
      <c r="L52" s="5" t="s">
        <v>71</v>
      </c>
      <c r="M52" s="14" t="s">
        <v>357</v>
      </c>
      <c r="N52" s="14"/>
    </row>
    <row r="53" spans="1:14">
      <c r="A53" s="10" t="s">
        <v>373</v>
      </c>
      <c r="B53" s="17" t="s">
        <v>309</v>
      </c>
      <c r="C53" s="8" t="s">
        <v>46</v>
      </c>
      <c r="D53" s="50">
        <v>3.7333333333333298</v>
      </c>
      <c r="E53" s="17" t="s">
        <v>270</v>
      </c>
      <c r="F53" s="17"/>
      <c r="G53" s="17" t="s">
        <v>49</v>
      </c>
      <c r="H53" s="17"/>
      <c r="I53" s="25"/>
      <c r="J53" s="49"/>
      <c r="K53" s="5" t="s">
        <v>1168</v>
      </c>
      <c r="L53" s="5" t="s">
        <v>71</v>
      </c>
      <c r="M53" s="14" t="s">
        <v>357</v>
      </c>
      <c r="N53" s="14"/>
    </row>
    <row r="54" spans="1:14">
      <c r="A54" s="10" t="s">
        <v>374</v>
      </c>
      <c r="B54" s="17" t="s">
        <v>17</v>
      </c>
      <c r="C54" s="8" t="s">
        <v>46</v>
      </c>
      <c r="D54" s="52">
        <v>141.85</v>
      </c>
      <c r="E54" s="17" t="s">
        <v>467</v>
      </c>
      <c r="F54" s="17"/>
      <c r="G54" s="17" t="s">
        <v>49</v>
      </c>
      <c r="H54" s="51"/>
      <c r="I54" s="59"/>
      <c r="J54" s="49"/>
      <c r="K54" s="5" t="s">
        <v>1168</v>
      </c>
      <c r="L54" s="5" t="s">
        <v>71</v>
      </c>
      <c r="M54" s="14" t="s">
        <v>357</v>
      </c>
      <c r="N54" s="14"/>
    </row>
    <row r="55" spans="1:14">
      <c r="A55" s="10" t="s">
        <v>376</v>
      </c>
      <c r="B55" s="17" t="s">
        <v>309</v>
      </c>
      <c r="C55" s="8" t="s">
        <v>46</v>
      </c>
      <c r="D55" s="52">
        <v>1.86666666666667</v>
      </c>
      <c r="E55" s="17" t="s">
        <v>425</v>
      </c>
      <c r="F55" s="17"/>
      <c r="G55" s="17" t="s">
        <v>49</v>
      </c>
      <c r="H55" s="51"/>
      <c r="I55" s="33" t="s">
        <v>377</v>
      </c>
      <c r="J55" s="49"/>
      <c r="K55" s="5" t="s">
        <v>1168</v>
      </c>
      <c r="L55" s="5" t="s">
        <v>71</v>
      </c>
      <c r="M55" s="14" t="s">
        <v>357</v>
      </c>
      <c r="N55" s="14"/>
    </row>
    <row r="56" spans="1:14" ht="24.75">
      <c r="A56" s="10" t="s">
        <v>468</v>
      </c>
      <c r="B56" s="17" t="s">
        <v>17</v>
      </c>
      <c r="C56" s="8" t="s">
        <v>46</v>
      </c>
      <c r="D56" s="52">
        <v>19.859000000000002</v>
      </c>
      <c r="E56" s="17" t="s">
        <v>270</v>
      </c>
      <c r="F56" s="60"/>
      <c r="G56" s="17" t="s">
        <v>49</v>
      </c>
      <c r="H56" s="51"/>
      <c r="I56" s="33" t="s">
        <v>469</v>
      </c>
      <c r="J56" s="49"/>
      <c r="K56" s="5" t="s">
        <v>1168</v>
      </c>
      <c r="L56" s="5" t="s">
        <v>71</v>
      </c>
      <c r="M56" s="14" t="s">
        <v>357</v>
      </c>
      <c r="N56" s="14"/>
    </row>
    <row r="57" spans="1:14" ht="24.75">
      <c r="A57" s="10" t="s">
        <v>470</v>
      </c>
      <c r="B57" s="17" t="s">
        <v>309</v>
      </c>
      <c r="C57" s="8" t="s">
        <v>46</v>
      </c>
      <c r="D57" s="52">
        <v>0.18666666666666701</v>
      </c>
      <c r="E57" s="17" t="s">
        <v>270</v>
      </c>
      <c r="F57" s="17"/>
      <c r="G57" s="17" t="s">
        <v>49</v>
      </c>
      <c r="H57" s="51"/>
      <c r="I57" s="33" t="s">
        <v>469</v>
      </c>
      <c r="J57" s="49"/>
      <c r="K57" s="5" t="s">
        <v>1168</v>
      </c>
      <c r="L57" s="5" t="s">
        <v>71</v>
      </c>
      <c r="M57" s="14" t="s">
        <v>357</v>
      </c>
      <c r="N57" s="14"/>
    </row>
    <row r="58" spans="1:14" ht="24.75">
      <c r="A58" s="10" t="s">
        <v>471</v>
      </c>
      <c r="B58" s="17" t="s">
        <v>17</v>
      </c>
      <c r="C58" s="8" t="s">
        <v>46</v>
      </c>
      <c r="D58" s="52">
        <v>14.185</v>
      </c>
      <c r="E58" s="17" t="s">
        <v>270</v>
      </c>
      <c r="F58" s="17"/>
      <c r="G58" s="17" t="s">
        <v>49</v>
      </c>
      <c r="H58" s="51"/>
      <c r="I58" s="33" t="s">
        <v>469</v>
      </c>
      <c r="J58" s="49"/>
      <c r="K58" s="5" t="s">
        <v>1168</v>
      </c>
      <c r="L58" s="5" t="s">
        <v>71</v>
      </c>
      <c r="M58" s="14" t="s">
        <v>357</v>
      </c>
      <c r="N58" s="14"/>
    </row>
    <row r="59" spans="1:14" ht="24.75">
      <c r="A59" s="10" t="s">
        <v>472</v>
      </c>
      <c r="B59" s="17" t="s">
        <v>309</v>
      </c>
      <c r="C59" s="8" t="s">
        <v>46</v>
      </c>
      <c r="D59" s="52">
        <v>0.18666666666666701</v>
      </c>
      <c r="E59" s="17" t="s">
        <v>270</v>
      </c>
      <c r="F59" s="17"/>
      <c r="G59" s="17" t="s">
        <v>49</v>
      </c>
      <c r="H59" s="51"/>
      <c r="I59" s="33" t="s">
        <v>469</v>
      </c>
      <c r="J59" s="49"/>
      <c r="K59" s="5" t="s">
        <v>1168</v>
      </c>
      <c r="L59" s="5" t="s">
        <v>71</v>
      </c>
      <c r="M59" s="14" t="s">
        <v>357</v>
      </c>
      <c r="N59" s="14"/>
    </row>
    <row r="60" spans="1:14" ht="24.75">
      <c r="A60" s="10" t="s">
        <v>473</v>
      </c>
      <c r="B60" s="17" t="s">
        <v>17</v>
      </c>
      <c r="C60" s="8" t="s">
        <v>46</v>
      </c>
      <c r="D60" s="52">
        <v>39.718000000000004</v>
      </c>
      <c r="E60" s="17" t="s">
        <v>270</v>
      </c>
      <c r="F60" s="17"/>
      <c r="G60" s="17" t="s">
        <v>49</v>
      </c>
      <c r="H60" s="51"/>
      <c r="I60" s="33" t="s">
        <v>469</v>
      </c>
      <c r="J60" s="49"/>
      <c r="K60" s="5" t="s">
        <v>1168</v>
      </c>
      <c r="L60" s="5" t="s">
        <v>71</v>
      </c>
      <c r="M60" s="14" t="s">
        <v>357</v>
      </c>
      <c r="N60" s="14"/>
    </row>
    <row r="61" spans="1:14" ht="24.75">
      <c r="A61" s="10" t="s">
        <v>474</v>
      </c>
      <c r="B61" s="17" t="s">
        <v>309</v>
      </c>
      <c r="C61" s="8" t="s">
        <v>46</v>
      </c>
      <c r="D61" s="52">
        <v>0.63466666666666705</v>
      </c>
      <c r="E61" s="17" t="s">
        <v>270</v>
      </c>
      <c r="F61" s="17"/>
      <c r="G61" s="17" t="s">
        <v>49</v>
      </c>
      <c r="H61" s="51"/>
      <c r="I61" s="33" t="s">
        <v>469</v>
      </c>
      <c r="J61" s="49"/>
      <c r="K61" s="5" t="s">
        <v>1168</v>
      </c>
      <c r="L61" s="5" t="s">
        <v>71</v>
      </c>
      <c r="M61" s="14" t="s">
        <v>357</v>
      </c>
      <c r="N61" s="14"/>
    </row>
    <row r="62" spans="1:14" ht="24.75">
      <c r="A62" s="10" t="s">
        <v>475</v>
      </c>
      <c r="B62" s="17" t="s">
        <v>17</v>
      </c>
      <c r="C62" s="8" t="s">
        <v>46</v>
      </c>
      <c r="D62" s="52">
        <v>8.5109999999999992</v>
      </c>
      <c r="E62" s="17" t="s">
        <v>270</v>
      </c>
      <c r="F62" s="17"/>
      <c r="G62" s="17" t="s">
        <v>49</v>
      </c>
      <c r="H62" s="51"/>
      <c r="I62" s="33" t="s">
        <v>469</v>
      </c>
      <c r="J62" s="49"/>
      <c r="K62" s="5" t="s">
        <v>1168</v>
      </c>
      <c r="L62" s="5" t="s">
        <v>71</v>
      </c>
      <c r="M62" s="14" t="s">
        <v>357</v>
      </c>
      <c r="N62" s="14"/>
    </row>
    <row r="63" spans="1:14" ht="24.75">
      <c r="A63" s="10" t="s">
        <v>476</v>
      </c>
      <c r="B63" s="17" t="s">
        <v>309</v>
      </c>
      <c r="C63" s="8" t="s">
        <v>46</v>
      </c>
      <c r="D63" s="52">
        <v>0.18666666666666701</v>
      </c>
      <c r="E63" s="17" t="s">
        <v>270</v>
      </c>
      <c r="F63" s="17"/>
      <c r="G63" s="17" t="s">
        <v>49</v>
      </c>
      <c r="H63" s="51"/>
      <c r="I63" s="33" t="s">
        <v>469</v>
      </c>
      <c r="J63" s="49"/>
      <c r="K63" s="5" t="s">
        <v>1168</v>
      </c>
      <c r="L63" s="5" t="s">
        <v>71</v>
      </c>
      <c r="M63" s="14" t="s">
        <v>357</v>
      </c>
      <c r="N63" s="14"/>
    </row>
    <row r="64" spans="1:14">
      <c r="A64" s="10" t="s">
        <v>378</v>
      </c>
      <c r="B64" s="17" t="s">
        <v>17</v>
      </c>
      <c r="C64" s="20" t="s">
        <v>379</v>
      </c>
      <c r="D64" s="8" t="s">
        <v>380</v>
      </c>
      <c r="E64" s="17" t="s">
        <v>381</v>
      </c>
      <c r="F64" s="17"/>
      <c r="G64" s="17" t="s">
        <v>49</v>
      </c>
      <c r="H64" s="51"/>
      <c r="I64" s="25"/>
      <c r="J64" s="49"/>
      <c r="K64" s="5" t="s">
        <v>1168</v>
      </c>
      <c r="L64" s="5" t="s">
        <v>71</v>
      </c>
      <c r="M64" s="14" t="s">
        <v>357</v>
      </c>
      <c r="N64" s="14">
        <v>6</v>
      </c>
    </row>
    <row r="65" spans="1:14">
      <c r="A65" s="10" t="s">
        <v>378</v>
      </c>
      <c r="B65" s="17" t="s">
        <v>17</v>
      </c>
      <c r="C65" s="20" t="s">
        <v>382</v>
      </c>
      <c r="D65" s="8" t="s">
        <v>383</v>
      </c>
      <c r="E65" s="17" t="s">
        <v>381</v>
      </c>
      <c r="F65" s="17"/>
      <c r="G65" s="17" t="s">
        <v>49</v>
      </c>
      <c r="H65" s="51"/>
      <c r="I65" s="25"/>
      <c r="J65" s="49"/>
      <c r="K65" s="5" t="s">
        <v>1168</v>
      </c>
      <c r="L65" s="5" t="s">
        <v>71</v>
      </c>
      <c r="M65" s="14" t="s">
        <v>357</v>
      </c>
      <c r="N65" s="14">
        <v>6</v>
      </c>
    </row>
    <row r="66" spans="1:14">
      <c r="A66" s="10" t="s">
        <v>384</v>
      </c>
      <c r="B66" s="17" t="s">
        <v>200</v>
      </c>
      <c r="C66" s="20" t="s">
        <v>379</v>
      </c>
      <c r="D66" s="8" t="s">
        <v>281</v>
      </c>
      <c r="E66" s="17" t="s">
        <v>282</v>
      </c>
      <c r="F66" s="17"/>
      <c r="G66" s="17" t="s">
        <v>49</v>
      </c>
      <c r="H66" s="51"/>
      <c r="I66" s="25"/>
      <c r="J66" s="49"/>
      <c r="K66" s="5" t="s">
        <v>1168</v>
      </c>
      <c r="L66" s="5" t="s">
        <v>71</v>
      </c>
      <c r="M66" s="14" t="s">
        <v>357</v>
      </c>
      <c r="N66" s="14">
        <v>6</v>
      </c>
    </row>
    <row r="67" spans="1:14" ht="36.75">
      <c r="A67" s="10" t="s">
        <v>384</v>
      </c>
      <c r="B67" s="17" t="s">
        <v>200</v>
      </c>
      <c r="C67" s="20" t="s">
        <v>382</v>
      </c>
      <c r="D67" s="8" t="s">
        <v>344</v>
      </c>
      <c r="E67" s="17" t="s">
        <v>346</v>
      </c>
      <c r="F67" s="17" t="s">
        <v>347</v>
      </c>
      <c r="G67" s="17" t="s">
        <v>49</v>
      </c>
      <c r="H67" s="51"/>
      <c r="I67" s="25" t="s">
        <v>348</v>
      </c>
      <c r="J67" s="49"/>
      <c r="K67" s="5" t="s">
        <v>1168</v>
      </c>
      <c r="L67" s="5" t="s">
        <v>71</v>
      </c>
      <c r="M67" s="14" t="s">
        <v>357</v>
      </c>
      <c r="N67" s="14">
        <v>6</v>
      </c>
    </row>
    <row r="68" spans="1:14">
      <c r="A68" s="10" t="s">
        <v>385</v>
      </c>
      <c r="B68" s="17" t="s">
        <v>309</v>
      </c>
      <c r="C68" s="8" t="s">
        <v>46</v>
      </c>
      <c r="D68" s="8">
        <v>94.7</v>
      </c>
      <c r="E68" s="17" t="s">
        <v>270</v>
      </c>
      <c r="F68" s="17"/>
      <c r="G68" s="17" t="s">
        <v>49</v>
      </c>
      <c r="H68" s="51"/>
      <c r="I68" s="25"/>
      <c r="J68" s="49"/>
      <c r="K68" s="5" t="s">
        <v>1168</v>
      </c>
      <c r="L68" s="5" t="s">
        <v>71</v>
      </c>
      <c r="M68" s="14" t="s">
        <v>357</v>
      </c>
      <c r="N68" s="14"/>
    </row>
    <row r="69" spans="1:14" ht="36">
      <c r="A69" s="10" t="s">
        <v>386</v>
      </c>
      <c r="B69" s="17" t="s">
        <v>17</v>
      </c>
      <c r="C69" s="8" t="s">
        <v>46</v>
      </c>
      <c r="D69" s="26" t="s">
        <v>477</v>
      </c>
      <c r="E69" s="26" t="s">
        <v>478</v>
      </c>
      <c r="F69" s="17"/>
      <c r="G69" s="17" t="s">
        <v>49</v>
      </c>
      <c r="H69" s="51"/>
      <c r="I69" s="33" t="s">
        <v>479</v>
      </c>
      <c r="J69" s="49"/>
      <c r="K69" s="5" t="s">
        <v>1168</v>
      </c>
      <c r="L69" s="5" t="s">
        <v>71</v>
      </c>
      <c r="M69" s="14" t="s">
        <v>357</v>
      </c>
      <c r="N69" s="14"/>
    </row>
    <row r="70" spans="1:14">
      <c r="A70" s="10" t="s">
        <v>388</v>
      </c>
      <c r="B70" s="17" t="s">
        <v>309</v>
      </c>
      <c r="C70" s="8" t="s">
        <v>46</v>
      </c>
      <c r="D70" s="50">
        <v>8.8666666666666707</v>
      </c>
      <c r="E70" s="17" t="s">
        <v>270</v>
      </c>
      <c r="F70" s="17"/>
      <c r="G70" s="17" t="s">
        <v>49</v>
      </c>
      <c r="H70" s="51"/>
      <c r="I70" s="25" t="s">
        <v>480</v>
      </c>
      <c r="J70" s="49"/>
      <c r="K70" s="5" t="s">
        <v>1168</v>
      </c>
      <c r="L70" s="5" t="s">
        <v>71</v>
      </c>
      <c r="M70" s="14" t="s">
        <v>357</v>
      </c>
      <c r="N70" s="14"/>
    </row>
    <row r="71" spans="1:14">
      <c r="A71" s="10" t="s">
        <v>390</v>
      </c>
      <c r="B71" s="17" t="s">
        <v>17</v>
      </c>
      <c r="C71" s="8" t="s">
        <v>46</v>
      </c>
      <c r="D71" s="8">
        <v>283.7</v>
      </c>
      <c r="E71" s="17" t="s">
        <v>467</v>
      </c>
      <c r="F71" s="17"/>
      <c r="G71" s="17" t="s">
        <v>49</v>
      </c>
      <c r="H71" s="51"/>
      <c r="I71" s="33" t="s">
        <v>481</v>
      </c>
      <c r="J71" s="49"/>
      <c r="K71" s="5" t="s">
        <v>1168</v>
      </c>
      <c r="L71" s="5" t="s">
        <v>71</v>
      </c>
      <c r="M71" s="14" t="s">
        <v>357</v>
      </c>
      <c r="N71" s="14"/>
    </row>
    <row r="72" spans="1:14">
      <c r="A72" s="10" t="s">
        <v>391</v>
      </c>
      <c r="B72" s="17" t="s">
        <v>309</v>
      </c>
      <c r="C72" s="8" t="s">
        <v>46</v>
      </c>
      <c r="D72" s="52">
        <v>5.8333333333333304</v>
      </c>
      <c r="E72" s="17" t="s">
        <v>482</v>
      </c>
      <c r="F72" s="17"/>
      <c r="G72" s="17" t="s">
        <v>49</v>
      </c>
      <c r="H72" s="51"/>
      <c r="I72" s="33" t="s">
        <v>483</v>
      </c>
      <c r="J72" s="49"/>
      <c r="K72" s="5" t="s">
        <v>1168</v>
      </c>
      <c r="L72" s="5" t="s">
        <v>71</v>
      </c>
      <c r="M72" s="14" t="s">
        <v>357</v>
      </c>
      <c r="N72" s="14"/>
    </row>
    <row r="73" spans="1:14" ht="24.75">
      <c r="A73" s="10" t="s">
        <v>484</v>
      </c>
      <c r="B73" s="17" t="s">
        <v>17</v>
      </c>
      <c r="C73" s="8" t="s">
        <v>46</v>
      </c>
      <c r="D73" s="52">
        <v>39.718000000000004</v>
      </c>
      <c r="E73" s="17" t="s">
        <v>270</v>
      </c>
      <c r="F73" s="17"/>
      <c r="G73" s="17" t="s">
        <v>49</v>
      </c>
      <c r="H73" s="51"/>
      <c r="I73" s="33" t="s">
        <v>469</v>
      </c>
      <c r="J73" s="49"/>
      <c r="K73" s="5" t="s">
        <v>1168</v>
      </c>
      <c r="L73" s="5" t="s">
        <v>71</v>
      </c>
      <c r="M73" s="14" t="s">
        <v>357</v>
      </c>
      <c r="N73" s="14"/>
    </row>
    <row r="74" spans="1:14" ht="24.75">
      <c r="A74" s="10" t="s">
        <v>485</v>
      </c>
      <c r="B74" s="17" t="s">
        <v>309</v>
      </c>
      <c r="C74" s="8" t="s">
        <v>46</v>
      </c>
      <c r="D74" s="52">
        <v>0.58333333333333304</v>
      </c>
      <c r="E74" s="17" t="s">
        <v>270</v>
      </c>
      <c r="F74" s="60"/>
      <c r="G74" s="17" t="s">
        <v>49</v>
      </c>
      <c r="H74" s="51"/>
      <c r="I74" s="33" t="s">
        <v>469</v>
      </c>
      <c r="J74" s="49"/>
      <c r="K74" s="5" t="s">
        <v>1168</v>
      </c>
      <c r="L74" s="5" t="s">
        <v>71</v>
      </c>
      <c r="M74" s="14" t="s">
        <v>357</v>
      </c>
      <c r="N74" s="14"/>
    </row>
    <row r="75" spans="1:14" ht="24.75">
      <c r="A75" s="10" t="s">
        <v>486</v>
      </c>
      <c r="B75" s="17" t="s">
        <v>17</v>
      </c>
      <c r="C75" s="8" t="s">
        <v>46</v>
      </c>
      <c r="D75" s="52">
        <v>28.37</v>
      </c>
      <c r="E75" s="17" t="s">
        <v>270</v>
      </c>
      <c r="F75" s="17"/>
      <c r="G75" s="17" t="s">
        <v>49</v>
      </c>
      <c r="H75" s="51"/>
      <c r="I75" s="33" t="s">
        <v>469</v>
      </c>
      <c r="J75" s="49"/>
      <c r="K75" s="5" t="s">
        <v>1168</v>
      </c>
      <c r="L75" s="5" t="s">
        <v>71</v>
      </c>
      <c r="M75" s="14" t="s">
        <v>357</v>
      </c>
      <c r="N75" s="14"/>
    </row>
    <row r="76" spans="1:14" ht="24.75">
      <c r="A76" s="10" t="s">
        <v>487</v>
      </c>
      <c r="B76" s="17" t="s">
        <v>309</v>
      </c>
      <c r="C76" s="8" t="s">
        <v>46</v>
      </c>
      <c r="D76" s="52">
        <v>0.58333333333333304</v>
      </c>
      <c r="E76" s="17" t="s">
        <v>270</v>
      </c>
      <c r="F76" s="17"/>
      <c r="G76" s="17" t="s">
        <v>49</v>
      </c>
      <c r="H76" s="51"/>
      <c r="I76" s="33" t="s">
        <v>469</v>
      </c>
      <c r="J76" s="49"/>
      <c r="K76" s="5" t="s">
        <v>1168</v>
      </c>
      <c r="L76" s="5" t="s">
        <v>71</v>
      </c>
      <c r="M76" s="14" t="s">
        <v>357</v>
      </c>
      <c r="N76" s="14"/>
    </row>
    <row r="77" spans="1:14" ht="24.75">
      <c r="A77" s="10" t="s">
        <v>488</v>
      </c>
      <c r="B77" s="17" t="s">
        <v>17</v>
      </c>
      <c r="C77" s="8" t="s">
        <v>46</v>
      </c>
      <c r="D77" s="52">
        <v>79.436000000000007</v>
      </c>
      <c r="E77" s="17" t="s">
        <v>270</v>
      </c>
      <c r="F77" s="17"/>
      <c r="G77" s="17" t="s">
        <v>49</v>
      </c>
      <c r="H77" s="51"/>
      <c r="I77" s="33" t="s">
        <v>469</v>
      </c>
      <c r="J77" s="49"/>
      <c r="K77" s="5" t="s">
        <v>1168</v>
      </c>
      <c r="L77" s="5" t="s">
        <v>71</v>
      </c>
      <c r="M77" s="14" t="s">
        <v>357</v>
      </c>
      <c r="N77" s="14"/>
    </row>
    <row r="78" spans="1:14" ht="24.75">
      <c r="A78" s="10" t="s">
        <v>489</v>
      </c>
      <c r="B78" s="17" t="s">
        <v>309</v>
      </c>
      <c r="C78" s="8" t="s">
        <v>46</v>
      </c>
      <c r="D78" s="52">
        <v>1.9833333333333301</v>
      </c>
      <c r="E78" s="17" t="s">
        <v>270</v>
      </c>
      <c r="F78" s="17"/>
      <c r="G78" s="17" t="s">
        <v>49</v>
      </c>
      <c r="H78" s="51"/>
      <c r="I78" s="33" t="s">
        <v>469</v>
      </c>
      <c r="J78" s="49"/>
      <c r="K78" s="5" t="s">
        <v>1168</v>
      </c>
      <c r="L78" s="5" t="s">
        <v>71</v>
      </c>
      <c r="M78" s="14" t="s">
        <v>357</v>
      </c>
      <c r="N78" s="14"/>
    </row>
    <row r="79" spans="1:14" ht="24.75">
      <c r="A79" s="10" t="s">
        <v>490</v>
      </c>
      <c r="B79" s="17" t="s">
        <v>17</v>
      </c>
      <c r="C79" s="8" t="s">
        <v>46</v>
      </c>
      <c r="D79" s="52">
        <v>17.021999999999998</v>
      </c>
      <c r="E79" s="17" t="s">
        <v>270</v>
      </c>
      <c r="F79" s="17"/>
      <c r="G79" s="17" t="s">
        <v>49</v>
      </c>
      <c r="H79" s="51"/>
      <c r="I79" s="33" t="s">
        <v>469</v>
      </c>
      <c r="J79" s="49"/>
      <c r="K79" s="5" t="s">
        <v>1168</v>
      </c>
      <c r="L79" s="5" t="s">
        <v>71</v>
      </c>
      <c r="M79" s="14" t="s">
        <v>357</v>
      </c>
      <c r="N79" s="14"/>
    </row>
    <row r="80" spans="1:14" ht="24.75">
      <c r="A80" s="10" t="s">
        <v>491</v>
      </c>
      <c r="B80" s="17" t="s">
        <v>309</v>
      </c>
      <c r="C80" s="8" t="s">
        <v>46</v>
      </c>
      <c r="D80" s="52">
        <v>0.58333333333333304</v>
      </c>
      <c r="E80" s="17" t="s">
        <v>270</v>
      </c>
      <c r="F80" s="17"/>
      <c r="G80" s="17" t="s">
        <v>49</v>
      </c>
      <c r="H80" s="51"/>
      <c r="I80" s="33" t="s">
        <v>469</v>
      </c>
      <c r="J80" s="49"/>
      <c r="K80" s="5" t="s">
        <v>1168</v>
      </c>
      <c r="L80" s="5" t="s">
        <v>71</v>
      </c>
      <c r="M80" s="14" t="s">
        <v>357</v>
      </c>
      <c r="N80" s="14"/>
    </row>
    <row r="81" spans="1:14">
      <c r="A81" s="10" t="s">
        <v>394</v>
      </c>
      <c r="B81" s="17" t="s">
        <v>17</v>
      </c>
      <c r="C81" s="8" t="s">
        <v>46</v>
      </c>
      <c r="D81" s="8">
        <v>96.5</v>
      </c>
      <c r="E81" s="17" t="s">
        <v>270</v>
      </c>
      <c r="F81" s="17"/>
      <c r="G81" s="17" t="s">
        <v>49</v>
      </c>
      <c r="H81" s="51"/>
      <c r="I81" s="33" t="s">
        <v>395</v>
      </c>
      <c r="J81" s="49"/>
      <c r="K81" s="5" t="s">
        <v>1168</v>
      </c>
      <c r="L81" s="5" t="s">
        <v>71</v>
      </c>
      <c r="M81" s="14" t="s">
        <v>357</v>
      </c>
      <c r="N81" s="14">
        <v>1</v>
      </c>
    </row>
    <row r="82" spans="1:14">
      <c r="A82" s="10" t="s">
        <v>396</v>
      </c>
      <c r="B82" s="17" t="s">
        <v>309</v>
      </c>
      <c r="C82" s="8" t="s">
        <v>46</v>
      </c>
      <c r="D82" s="8">
        <v>45</v>
      </c>
      <c r="E82" s="17" t="s">
        <v>270</v>
      </c>
      <c r="F82" s="17"/>
      <c r="G82" s="17" t="s">
        <v>49</v>
      </c>
      <c r="H82" s="51"/>
      <c r="I82" s="25"/>
      <c r="J82" s="49"/>
      <c r="K82" s="5" t="s">
        <v>1168</v>
      </c>
      <c r="L82" s="5" t="s">
        <v>71</v>
      </c>
      <c r="M82" s="14" t="s">
        <v>357</v>
      </c>
      <c r="N82" s="14"/>
    </row>
    <row r="83" spans="1:14">
      <c r="A83" s="10" t="s">
        <v>397</v>
      </c>
      <c r="B83" s="17" t="s">
        <v>17</v>
      </c>
      <c r="C83" s="8" t="s">
        <v>46</v>
      </c>
      <c r="D83" s="8">
        <v>65.3</v>
      </c>
      <c r="E83" s="17" t="s">
        <v>270</v>
      </c>
      <c r="F83" s="17"/>
      <c r="G83" s="17" t="s">
        <v>49</v>
      </c>
      <c r="H83" s="51"/>
      <c r="I83" s="33" t="s">
        <v>395</v>
      </c>
      <c r="J83" s="49"/>
      <c r="K83" s="5" t="s">
        <v>1168</v>
      </c>
      <c r="L83" s="5" t="s">
        <v>71</v>
      </c>
      <c r="M83" s="14" t="s">
        <v>357</v>
      </c>
      <c r="N83" s="14">
        <v>1</v>
      </c>
    </row>
    <row r="84" spans="1:14">
      <c r="A84" s="10" t="s">
        <v>398</v>
      </c>
      <c r="B84" s="17" t="s">
        <v>309</v>
      </c>
      <c r="C84" s="8" t="s">
        <v>46</v>
      </c>
      <c r="D84" s="8">
        <v>45</v>
      </c>
      <c r="E84" s="17" t="s">
        <v>270</v>
      </c>
      <c r="F84" s="17"/>
      <c r="G84" s="17" t="s">
        <v>49</v>
      </c>
      <c r="H84" s="51"/>
      <c r="I84" s="25"/>
      <c r="J84" s="49"/>
      <c r="K84" s="5" t="s">
        <v>1168</v>
      </c>
      <c r="L84" s="5" t="s">
        <v>71</v>
      </c>
      <c r="M84" s="14" t="s">
        <v>357</v>
      </c>
      <c r="N84" s="14"/>
    </row>
    <row r="85" spans="1:14">
      <c r="A85" s="10" t="s">
        <v>399</v>
      </c>
      <c r="B85" s="17" t="s">
        <v>17</v>
      </c>
      <c r="C85" s="8" t="s">
        <v>46</v>
      </c>
      <c r="D85" s="8">
        <v>192.9</v>
      </c>
      <c r="E85" s="17" t="s">
        <v>270</v>
      </c>
      <c r="F85" s="17"/>
      <c r="G85" s="17" t="s">
        <v>49</v>
      </c>
      <c r="H85" s="51"/>
      <c r="I85" s="33" t="s">
        <v>395</v>
      </c>
      <c r="J85" s="49"/>
      <c r="K85" s="5" t="s">
        <v>1168</v>
      </c>
      <c r="L85" s="5" t="s">
        <v>71</v>
      </c>
      <c r="M85" s="14" t="s">
        <v>357</v>
      </c>
      <c r="N85" s="14">
        <v>1</v>
      </c>
    </row>
    <row r="86" spans="1:14">
      <c r="A86" s="10" t="s">
        <v>400</v>
      </c>
      <c r="B86" s="17" t="s">
        <v>309</v>
      </c>
      <c r="C86" s="8" t="s">
        <v>46</v>
      </c>
      <c r="D86" s="8">
        <v>45</v>
      </c>
      <c r="E86" s="17" t="s">
        <v>270</v>
      </c>
      <c r="F86" s="17"/>
      <c r="G86" s="17" t="s">
        <v>49</v>
      </c>
      <c r="H86" s="51"/>
      <c r="I86" s="25"/>
      <c r="J86" s="49"/>
      <c r="K86" s="5" t="s">
        <v>1168</v>
      </c>
      <c r="L86" s="5" t="s">
        <v>71</v>
      </c>
      <c r="M86" s="14" t="s">
        <v>357</v>
      </c>
      <c r="N86" s="14"/>
    </row>
    <row r="87" spans="1:14">
      <c r="A87" s="10" t="s">
        <v>401</v>
      </c>
      <c r="B87" s="17" t="s">
        <v>17</v>
      </c>
      <c r="C87" s="8" t="s">
        <v>46</v>
      </c>
      <c r="D87" s="50">
        <v>567.4</v>
      </c>
      <c r="E87" s="17" t="s">
        <v>270</v>
      </c>
      <c r="F87" s="17"/>
      <c r="G87" s="17" t="s">
        <v>49</v>
      </c>
      <c r="H87" s="17"/>
      <c r="I87" s="59"/>
      <c r="J87" s="49"/>
      <c r="K87" s="5" t="s">
        <v>1168</v>
      </c>
      <c r="L87" s="5" t="s">
        <v>71</v>
      </c>
      <c r="M87" s="14" t="s">
        <v>357</v>
      </c>
      <c r="N87" s="14"/>
    </row>
    <row r="88" spans="1:14">
      <c r="A88" s="10" t="s">
        <v>403</v>
      </c>
      <c r="B88" s="17" t="s">
        <v>309</v>
      </c>
      <c r="C88" s="8" t="s">
        <v>46</v>
      </c>
      <c r="D88" s="50">
        <v>23.3333333333333</v>
      </c>
      <c r="E88" s="17" t="s">
        <v>270</v>
      </c>
      <c r="F88" s="17" t="s">
        <v>404</v>
      </c>
      <c r="G88" s="17" t="s">
        <v>49</v>
      </c>
      <c r="H88" s="17"/>
      <c r="I88" s="25" t="s">
        <v>405</v>
      </c>
      <c r="J88" s="49"/>
      <c r="K88" s="5" t="s">
        <v>1168</v>
      </c>
      <c r="L88" s="5" t="s">
        <v>71</v>
      </c>
      <c r="M88" s="14" t="s">
        <v>357</v>
      </c>
      <c r="N88" s="14"/>
    </row>
    <row r="89" spans="1:14">
      <c r="A89" s="10" t="s">
        <v>406</v>
      </c>
      <c r="B89" s="17" t="s">
        <v>17</v>
      </c>
      <c r="C89" s="8" t="s">
        <v>46</v>
      </c>
      <c r="D89" s="52">
        <v>794.36</v>
      </c>
      <c r="E89" s="17" t="s">
        <v>270</v>
      </c>
      <c r="F89" s="17"/>
      <c r="G89" s="17" t="s">
        <v>49</v>
      </c>
      <c r="H89" s="17"/>
      <c r="I89" s="33" t="s">
        <v>407</v>
      </c>
      <c r="J89" s="49"/>
      <c r="K89" s="5" t="s">
        <v>1168</v>
      </c>
      <c r="L89" s="5" t="s">
        <v>71</v>
      </c>
      <c r="M89" s="14" t="s">
        <v>357</v>
      </c>
      <c r="N89" s="14"/>
    </row>
    <row r="90" spans="1:14">
      <c r="A90" s="10" t="s">
        <v>408</v>
      </c>
      <c r="B90" s="17" t="s">
        <v>309</v>
      </c>
      <c r="C90" s="8" t="s">
        <v>46</v>
      </c>
      <c r="D90" s="52">
        <v>15.866666666666699</v>
      </c>
      <c r="E90" s="17" t="s">
        <v>270</v>
      </c>
      <c r="F90" s="17"/>
      <c r="G90" s="17" t="s">
        <v>49</v>
      </c>
      <c r="H90" s="17"/>
      <c r="I90" s="25"/>
      <c r="J90" s="49"/>
      <c r="K90" s="5" t="s">
        <v>1168</v>
      </c>
      <c r="L90" s="5" t="s">
        <v>71</v>
      </c>
      <c r="M90" s="14" t="s">
        <v>357</v>
      </c>
      <c r="N90" s="14"/>
    </row>
    <row r="91" spans="1:14">
      <c r="A91" s="10" t="s">
        <v>409</v>
      </c>
      <c r="B91" s="17" t="s">
        <v>17</v>
      </c>
      <c r="C91" s="8" t="s">
        <v>46</v>
      </c>
      <c r="D91" s="52">
        <v>56.74</v>
      </c>
      <c r="E91" s="17" t="s">
        <v>270</v>
      </c>
      <c r="F91" s="17"/>
      <c r="G91" s="17" t="s">
        <v>49</v>
      </c>
      <c r="H91" s="51"/>
      <c r="I91" s="33" t="s">
        <v>410</v>
      </c>
      <c r="J91" s="49"/>
      <c r="K91" s="5" t="s">
        <v>1168</v>
      </c>
      <c r="L91" s="5" t="s">
        <v>71</v>
      </c>
      <c r="M91" s="14" t="s">
        <v>357</v>
      </c>
      <c r="N91" s="14"/>
    </row>
    <row r="92" spans="1:14">
      <c r="A92" s="10" t="s">
        <v>411</v>
      </c>
      <c r="B92" s="17" t="s">
        <v>309</v>
      </c>
      <c r="C92" s="8" t="s">
        <v>46</v>
      </c>
      <c r="D92" s="52">
        <v>3.7333333333333298</v>
      </c>
      <c r="E92" s="17" t="s">
        <v>270</v>
      </c>
      <c r="F92" s="17"/>
      <c r="G92" s="17" t="s">
        <v>49</v>
      </c>
      <c r="H92" s="51"/>
      <c r="I92" s="25"/>
      <c r="J92" s="49"/>
      <c r="K92" s="5" t="s">
        <v>1168</v>
      </c>
      <c r="L92" s="5" t="s">
        <v>71</v>
      </c>
      <c r="M92" s="14" t="s">
        <v>357</v>
      </c>
      <c r="N92" s="14"/>
    </row>
    <row r="93" spans="1:14">
      <c r="A93" s="10" t="s">
        <v>412</v>
      </c>
      <c r="B93" s="17" t="s">
        <v>17</v>
      </c>
      <c r="C93" s="8" t="s">
        <v>46</v>
      </c>
      <c r="D93" s="8">
        <v>192.9</v>
      </c>
      <c r="E93" s="17" t="s">
        <v>270</v>
      </c>
      <c r="F93" s="17"/>
      <c r="G93" s="17" t="s">
        <v>49</v>
      </c>
      <c r="H93" s="51"/>
      <c r="I93" s="33" t="s">
        <v>395</v>
      </c>
      <c r="J93" s="49"/>
      <c r="K93" s="5" t="s">
        <v>1168</v>
      </c>
      <c r="L93" s="5" t="s">
        <v>71</v>
      </c>
      <c r="M93" s="14" t="s">
        <v>357</v>
      </c>
      <c r="N93" s="14"/>
    </row>
    <row r="94" spans="1:14">
      <c r="A94" s="10" t="s">
        <v>413</v>
      </c>
      <c r="B94" s="17" t="s">
        <v>309</v>
      </c>
      <c r="C94" s="8" t="s">
        <v>46</v>
      </c>
      <c r="D94" s="8">
        <v>94.7</v>
      </c>
      <c r="E94" s="17" t="s">
        <v>270</v>
      </c>
      <c r="F94" s="17"/>
      <c r="G94" s="17" t="s">
        <v>49</v>
      </c>
      <c r="H94" s="51"/>
      <c r="I94" s="25"/>
      <c r="J94" s="49"/>
      <c r="K94" s="5" t="s">
        <v>1168</v>
      </c>
      <c r="L94" s="5" t="s">
        <v>71</v>
      </c>
      <c r="M94" s="14" t="s">
        <v>357</v>
      </c>
      <c r="N94" s="14"/>
    </row>
    <row r="95" spans="1:14">
      <c r="A95" s="10" t="s">
        <v>414</v>
      </c>
      <c r="B95" s="17" t="s">
        <v>200</v>
      </c>
      <c r="C95" s="20" t="s">
        <v>379</v>
      </c>
      <c r="D95" s="8" t="s">
        <v>281</v>
      </c>
      <c r="E95" s="17" t="s">
        <v>91</v>
      </c>
      <c r="F95" s="17" t="s">
        <v>267</v>
      </c>
      <c r="G95" s="17" t="s">
        <v>49</v>
      </c>
      <c r="H95" s="51"/>
      <c r="I95" s="25"/>
      <c r="J95" s="49"/>
      <c r="K95" s="5" t="s">
        <v>1168</v>
      </c>
      <c r="L95" s="5" t="s">
        <v>71</v>
      </c>
      <c r="M95" s="14" t="s">
        <v>357</v>
      </c>
      <c r="N95" s="14"/>
    </row>
    <row r="96" spans="1:14">
      <c r="A96" s="10" t="s">
        <v>414</v>
      </c>
      <c r="B96" s="17" t="s">
        <v>200</v>
      </c>
      <c r="C96" s="20" t="s">
        <v>382</v>
      </c>
      <c r="D96" s="8" t="s">
        <v>327</v>
      </c>
      <c r="E96" s="17" t="s">
        <v>91</v>
      </c>
      <c r="F96" s="17" t="s">
        <v>267</v>
      </c>
      <c r="G96" s="17" t="s">
        <v>49</v>
      </c>
      <c r="H96" s="51"/>
      <c r="I96" s="25"/>
      <c r="J96" s="49"/>
      <c r="K96" s="5" t="s">
        <v>1168</v>
      </c>
      <c r="L96" s="5" t="s">
        <v>71</v>
      </c>
      <c r="M96" s="14" t="s">
        <v>357</v>
      </c>
      <c r="N96" s="14"/>
    </row>
    <row r="97" spans="1:14">
      <c r="A97" s="10" t="s">
        <v>415</v>
      </c>
      <c r="B97" s="17" t="s">
        <v>17</v>
      </c>
      <c r="C97" s="8" t="s">
        <v>46</v>
      </c>
      <c r="D97" s="8">
        <v>130.5</v>
      </c>
      <c r="E97" s="17" t="s">
        <v>270</v>
      </c>
      <c r="F97" s="17"/>
      <c r="G97" s="17" t="s">
        <v>49</v>
      </c>
      <c r="H97" s="51"/>
      <c r="I97" s="33" t="s">
        <v>395</v>
      </c>
      <c r="J97" s="49"/>
      <c r="K97" s="5" t="s">
        <v>1168</v>
      </c>
      <c r="L97" s="5" t="s">
        <v>71</v>
      </c>
      <c r="M97" s="14" t="s">
        <v>357</v>
      </c>
      <c r="N97" s="14"/>
    </row>
    <row r="98" spans="1:14">
      <c r="A98" s="10" t="s">
        <v>416</v>
      </c>
      <c r="B98" s="17" t="s">
        <v>309</v>
      </c>
      <c r="C98" s="8" t="s">
        <v>46</v>
      </c>
      <c r="D98" s="8">
        <v>94.7</v>
      </c>
      <c r="E98" s="17" t="s">
        <v>270</v>
      </c>
      <c r="F98" s="17"/>
      <c r="G98" s="17" t="s">
        <v>49</v>
      </c>
      <c r="H98" s="51"/>
      <c r="I98" s="25"/>
      <c r="J98" s="49"/>
      <c r="K98" s="5" t="s">
        <v>1168</v>
      </c>
      <c r="L98" s="5" t="s">
        <v>71</v>
      </c>
      <c r="M98" s="14" t="s">
        <v>357</v>
      </c>
      <c r="N98" s="14"/>
    </row>
    <row r="99" spans="1:14">
      <c r="A99" s="10" t="s">
        <v>417</v>
      </c>
      <c r="B99" s="17" t="s">
        <v>200</v>
      </c>
      <c r="C99" s="20" t="s">
        <v>46</v>
      </c>
      <c r="D99" s="8" t="s">
        <v>281</v>
      </c>
      <c r="E99" s="17" t="s">
        <v>91</v>
      </c>
      <c r="F99" s="17" t="s">
        <v>267</v>
      </c>
      <c r="G99" s="17" t="s">
        <v>49</v>
      </c>
      <c r="H99" s="51"/>
      <c r="I99" s="25" t="s">
        <v>418</v>
      </c>
      <c r="J99" s="49"/>
      <c r="K99" s="5" t="s">
        <v>1168</v>
      </c>
      <c r="L99" s="5" t="s">
        <v>71</v>
      </c>
      <c r="M99" s="14" t="s">
        <v>357</v>
      </c>
      <c r="N99" s="14">
        <v>1</v>
      </c>
    </row>
    <row r="100" spans="1:14">
      <c r="A100" s="10" t="s">
        <v>419</v>
      </c>
      <c r="B100" s="17" t="s">
        <v>17</v>
      </c>
      <c r="C100" s="8" t="s">
        <v>46</v>
      </c>
      <c r="D100" s="8">
        <v>385.8</v>
      </c>
      <c r="E100" s="17" t="s">
        <v>270</v>
      </c>
      <c r="F100" s="17"/>
      <c r="G100" s="17" t="s">
        <v>49</v>
      </c>
      <c r="H100" s="51"/>
      <c r="I100" s="33" t="s">
        <v>395</v>
      </c>
      <c r="J100" s="49"/>
      <c r="K100" s="5" t="s">
        <v>1168</v>
      </c>
      <c r="L100" s="5" t="s">
        <v>71</v>
      </c>
      <c r="M100" s="14" t="s">
        <v>357</v>
      </c>
      <c r="N100" s="14"/>
    </row>
    <row r="101" spans="1:14">
      <c r="A101" s="10" t="s">
        <v>420</v>
      </c>
      <c r="B101" s="17" t="s">
        <v>309</v>
      </c>
      <c r="C101" s="8" t="s">
        <v>46</v>
      </c>
      <c r="D101" s="8">
        <v>94.7</v>
      </c>
      <c r="E101" s="17" t="s">
        <v>270</v>
      </c>
      <c r="F101" s="17"/>
      <c r="G101" s="17" t="s">
        <v>49</v>
      </c>
      <c r="H101" s="51"/>
      <c r="I101" s="25"/>
      <c r="J101" s="49"/>
      <c r="K101" s="5" t="s">
        <v>1168</v>
      </c>
      <c r="L101" s="5" t="s">
        <v>71</v>
      </c>
      <c r="M101" s="14" t="s">
        <v>357</v>
      </c>
      <c r="N101" s="14"/>
    </row>
    <row r="102" spans="1:14" ht="24.75">
      <c r="A102" s="10" t="s">
        <v>421</v>
      </c>
      <c r="B102" s="17" t="s">
        <v>200</v>
      </c>
      <c r="C102" s="20" t="s">
        <v>46</v>
      </c>
      <c r="D102" s="8" t="s">
        <v>281</v>
      </c>
      <c r="E102" s="17" t="s">
        <v>91</v>
      </c>
      <c r="F102" s="17" t="s">
        <v>267</v>
      </c>
      <c r="G102" s="17" t="s">
        <v>49</v>
      </c>
      <c r="H102" s="51"/>
      <c r="I102" s="25" t="s">
        <v>422</v>
      </c>
      <c r="J102" s="49"/>
      <c r="K102" s="5" t="s">
        <v>1168</v>
      </c>
      <c r="L102" s="5" t="s">
        <v>71</v>
      </c>
      <c r="M102" s="14" t="s">
        <v>357</v>
      </c>
      <c r="N102" s="14">
        <v>1</v>
      </c>
    </row>
    <row r="103" spans="1:14">
      <c r="A103" s="10" t="s">
        <v>423</v>
      </c>
      <c r="B103" s="17" t="s">
        <v>17</v>
      </c>
      <c r="C103" s="8" t="s">
        <v>46</v>
      </c>
      <c r="D103" s="52">
        <v>141.85</v>
      </c>
      <c r="E103" s="17" t="s">
        <v>467</v>
      </c>
      <c r="F103" s="17"/>
      <c r="G103" s="17" t="s">
        <v>49</v>
      </c>
      <c r="H103" s="51"/>
      <c r="I103" s="59"/>
      <c r="J103" s="49"/>
      <c r="K103" s="5" t="s">
        <v>1168</v>
      </c>
      <c r="L103" s="5" t="s">
        <v>71</v>
      </c>
      <c r="M103" s="14" t="s">
        <v>357</v>
      </c>
      <c r="N103" s="14"/>
    </row>
    <row r="104" spans="1:14">
      <c r="A104" s="10" t="s">
        <v>424</v>
      </c>
      <c r="B104" s="17" t="s">
        <v>309</v>
      </c>
      <c r="C104" s="8" t="s">
        <v>46</v>
      </c>
      <c r="D104" s="52">
        <v>1.86666666666667</v>
      </c>
      <c r="E104" s="17" t="s">
        <v>425</v>
      </c>
      <c r="F104" s="17"/>
      <c r="G104" s="17" t="s">
        <v>49</v>
      </c>
      <c r="H104" s="51"/>
      <c r="I104" s="33" t="s">
        <v>377</v>
      </c>
      <c r="J104" s="49"/>
      <c r="K104" s="5" t="s">
        <v>1168</v>
      </c>
      <c r="L104" s="5" t="s">
        <v>71</v>
      </c>
      <c r="M104" s="14" t="s">
        <v>357</v>
      </c>
      <c r="N104" s="14"/>
    </row>
    <row r="105" spans="1:14" ht="24.75">
      <c r="A105" s="10" t="s">
        <v>492</v>
      </c>
      <c r="B105" s="17" t="s">
        <v>17</v>
      </c>
      <c r="C105" s="8" t="s">
        <v>46</v>
      </c>
      <c r="D105" s="52">
        <v>19.859000000000002</v>
      </c>
      <c r="E105" s="17" t="s">
        <v>270</v>
      </c>
      <c r="F105" s="17"/>
      <c r="G105" s="17" t="s">
        <v>49</v>
      </c>
      <c r="H105" s="51"/>
      <c r="I105" s="33" t="s">
        <v>469</v>
      </c>
      <c r="J105" s="49"/>
      <c r="K105" s="5" t="s">
        <v>1168</v>
      </c>
      <c r="L105" s="5" t="s">
        <v>71</v>
      </c>
      <c r="M105" s="14" t="s">
        <v>357</v>
      </c>
      <c r="N105" s="14"/>
    </row>
    <row r="106" spans="1:14" ht="24.75">
      <c r="A106" s="10" t="s">
        <v>493</v>
      </c>
      <c r="B106" s="17" t="s">
        <v>309</v>
      </c>
      <c r="C106" s="8" t="s">
        <v>46</v>
      </c>
      <c r="D106" s="52">
        <v>0.18666666666666701</v>
      </c>
      <c r="E106" s="17" t="s">
        <v>270</v>
      </c>
      <c r="F106" s="17"/>
      <c r="G106" s="17" t="s">
        <v>49</v>
      </c>
      <c r="H106" s="51"/>
      <c r="I106" s="33" t="s">
        <v>469</v>
      </c>
      <c r="J106" s="49"/>
      <c r="K106" s="5" t="s">
        <v>1168</v>
      </c>
      <c r="L106" s="5" t="s">
        <v>71</v>
      </c>
      <c r="M106" s="14" t="s">
        <v>357</v>
      </c>
      <c r="N106" s="14"/>
    </row>
    <row r="107" spans="1:14" ht="24.75">
      <c r="A107" s="10" t="s">
        <v>494</v>
      </c>
      <c r="B107" s="17" t="s">
        <v>17</v>
      </c>
      <c r="C107" s="8" t="s">
        <v>46</v>
      </c>
      <c r="D107" s="52">
        <v>14.185</v>
      </c>
      <c r="E107" s="17" t="s">
        <v>270</v>
      </c>
      <c r="F107" s="17"/>
      <c r="G107" s="17" t="s">
        <v>49</v>
      </c>
      <c r="H107" s="51"/>
      <c r="I107" s="33" t="s">
        <v>469</v>
      </c>
      <c r="J107" s="49"/>
      <c r="K107" s="5" t="s">
        <v>1168</v>
      </c>
      <c r="L107" s="5" t="s">
        <v>71</v>
      </c>
      <c r="M107" s="14" t="s">
        <v>357</v>
      </c>
      <c r="N107" s="14"/>
    </row>
    <row r="108" spans="1:14" ht="24.75">
      <c r="A108" s="10" t="s">
        <v>495</v>
      </c>
      <c r="B108" s="17" t="s">
        <v>309</v>
      </c>
      <c r="C108" s="8" t="s">
        <v>46</v>
      </c>
      <c r="D108" s="52">
        <v>0.18666666666666701</v>
      </c>
      <c r="E108" s="17" t="s">
        <v>270</v>
      </c>
      <c r="F108" s="17"/>
      <c r="G108" s="17" t="s">
        <v>49</v>
      </c>
      <c r="H108" s="51"/>
      <c r="I108" s="33" t="s">
        <v>469</v>
      </c>
      <c r="J108" s="49"/>
      <c r="K108" s="5" t="s">
        <v>1168</v>
      </c>
      <c r="L108" s="5" t="s">
        <v>71</v>
      </c>
      <c r="M108" s="14" t="s">
        <v>357</v>
      </c>
      <c r="N108" s="14"/>
    </row>
    <row r="109" spans="1:14" ht="24.75">
      <c r="A109" s="10" t="s">
        <v>496</v>
      </c>
      <c r="B109" s="17" t="s">
        <v>17</v>
      </c>
      <c r="C109" s="8" t="s">
        <v>46</v>
      </c>
      <c r="D109" s="52">
        <v>39.718000000000004</v>
      </c>
      <c r="E109" s="17" t="s">
        <v>270</v>
      </c>
      <c r="F109" s="17"/>
      <c r="G109" s="17" t="s">
        <v>49</v>
      </c>
      <c r="H109" s="51"/>
      <c r="I109" s="33" t="s">
        <v>469</v>
      </c>
      <c r="J109" s="49"/>
      <c r="K109" s="5" t="s">
        <v>1168</v>
      </c>
      <c r="L109" s="5" t="s">
        <v>71</v>
      </c>
      <c r="M109" s="14" t="s">
        <v>357</v>
      </c>
      <c r="N109" s="14"/>
    </row>
    <row r="110" spans="1:14" ht="24.75">
      <c r="A110" s="10" t="s">
        <v>497</v>
      </c>
      <c r="B110" s="17" t="s">
        <v>309</v>
      </c>
      <c r="C110" s="8" t="s">
        <v>46</v>
      </c>
      <c r="D110" s="52">
        <v>0.63466666666666705</v>
      </c>
      <c r="E110" s="17" t="s">
        <v>270</v>
      </c>
      <c r="F110" s="17"/>
      <c r="G110" s="17" t="s">
        <v>49</v>
      </c>
      <c r="H110" s="51"/>
      <c r="I110" s="33" t="s">
        <v>469</v>
      </c>
      <c r="J110" s="49"/>
      <c r="K110" s="5" t="s">
        <v>1168</v>
      </c>
      <c r="L110" s="5" t="s">
        <v>71</v>
      </c>
      <c r="M110" s="14" t="s">
        <v>357</v>
      </c>
      <c r="N110" s="14"/>
    </row>
    <row r="111" spans="1:14" ht="24.75">
      <c r="A111" s="10" t="s">
        <v>498</v>
      </c>
      <c r="B111" s="17" t="s">
        <v>17</v>
      </c>
      <c r="C111" s="8" t="s">
        <v>46</v>
      </c>
      <c r="D111" s="52">
        <v>8.5109999999999992</v>
      </c>
      <c r="E111" s="17" t="s">
        <v>270</v>
      </c>
      <c r="F111" s="17"/>
      <c r="G111" s="17" t="s">
        <v>49</v>
      </c>
      <c r="H111" s="51"/>
      <c r="I111" s="33" t="s">
        <v>469</v>
      </c>
      <c r="J111" s="49"/>
      <c r="K111" s="5" t="s">
        <v>1168</v>
      </c>
      <c r="L111" s="5" t="s">
        <v>71</v>
      </c>
      <c r="M111" s="14" t="s">
        <v>357</v>
      </c>
      <c r="N111" s="14"/>
    </row>
    <row r="112" spans="1:14" ht="24.75">
      <c r="A112" s="10" t="s">
        <v>499</v>
      </c>
      <c r="B112" s="17" t="s">
        <v>309</v>
      </c>
      <c r="C112" s="8" t="s">
        <v>46</v>
      </c>
      <c r="D112" s="52">
        <v>0.18666666666666701</v>
      </c>
      <c r="E112" s="17" t="s">
        <v>270</v>
      </c>
      <c r="F112" s="17"/>
      <c r="G112" s="17" t="s">
        <v>49</v>
      </c>
      <c r="H112" s="51"/>
      <c r="I112" s="33" t="s">
        <v>469</v>
      </c>
      <c r="J112" s="49"/>
      <c r="K112" s="5" t="s">
        <v>1168</v>
      </c>
      <c r="L112" s="5" t="s">
        <v>71</v>
      </c>
      <c r="M112" s="14" t="s">
        <v>357</v>
      </c>
      <c r="N112" s="14"/>
    </row>
    <row r="113" spans="1:14" ht="48.75">
      <c r="A113" s="10" t="s">
        <v>426</v>
      </c>
      <c r="B113" s="17" t="s">
        <v>17</v>
      </c>
      <c r="C113" s="20" t="s">
        <v>379</v>
      </c>
      <c r="D113" s="8" t="s">
        <v>427</v>
      </c>
      <c r="E113" s="17" t="s">
        <v>428</v>
      </c>
      <c r="F113" s="17"/>
      <c r="G113" s="17" t="s">
        <v>49</v>
      </c>
      <c r="H113" s="51"/>
      <c r="I113" s="33" t="s">
        <v>429</v>
      </c>
      <c r="J113" s="49"/>
      <c r="K113" s="5" t="s">
        <v>1168</v>
      </c>
      <c r="L113" s="5" t="s">
        <v>71</v>
      </c>
      <c r="M113" s="14" t="s">
        <v>357</v>
      </c>
      <c r="N113" s="14"/>
    </row>
    <row r="114" spans="1:14" ht="24">
      <c r="A114" s="10" t="s">
        <v>426</v>
      </c>
      <c r="B114" s="17" t="s">
        <v>17</v>
      </c>
      <c r="C114" s="20" t="s">
        <v>382</v>
      </c>
      <c r="D114" s="8" t="s">
        <v>430</v>
      </c>
      <c r="E114" s="17" t="s">
        <v>428</v>
      </c>
      <c r="F114" s="17"/>
      <c r="G114" s="17" t="s">
        <v>49</v>
      </c>
      <c r="H114" s="51"/>
      <c r="I114" s="25"/>
      <c r="J114" s="49"/>
      <c r="K114" s="5" t="s">
        <v>1168</v>
      </c>
      <c r="L114" s="5" t="s">
        <v>71</v>
      </c>
      <c r="M114" s="14" t="s">
        <v>357</v>
      </c>
      <c r="N114" s="14"/>
    </row>
    <row r="115" spans="1:14" ht="24.75">
      <c r="A115" s="10" t="s">
        <v>431</v>
      </c>
      <c r="B115" s="17" t="s">
        <v>200</v>
      </c>
      <c r="C115" s="20" t="s">
        <v>379</v>
      </c>
      <c r="D115" s="8" t="s">
        <v>284</v>
      </c>
      <c r="E115" s="17" t="s">
        <v>282</v>
      </c>
      <c r="F115" s="17"/>
      <c r="G115" s="17" t="s">
        <v>49</v>
      </c>
      <c r="H115" s="51"/>
      <c r="I115" s="25" t="s">
        <v>285</v>
      </c>
      <c r="J115" s="49"/>
      <c r="K115" s="5" t="s">
        <v>1168</v>
      </c>
      <c r="L115" s="5" t="s">
        <v>71</v>
      </c>
      <c r="M115" s="14" t="s">
        <v>357</v>
      </c>
      <c r="N115" s="14"/>
    </row>
    <row r="116" spans="1:14">
      <c r="A116" s="10" t="s">
        <v>431</v>
      </c>
      <c r="B116" s="17" t="s">
        <v>200</v>
      </c>
      <c r="C116" s="20" t="s">
        <v>382</v>
      </c>
      <c r="D116" s="8" t="s">
        <v>327</v>
      </c>
      <c r="E116" s="17" t="s">
        <v>282</v>
      </c>
      <c r="F116" s="17"/>
      <c r="G116" s="17" t="s">
        <v>49</v>
      </c>
      <c r="H116" s="51"/>
      <c r="I116" s="25"/>
      <c r="J116" s="49"/>
      <c r="K116" s="5" t="s">
        <v>1168</v>
      </c>
      <c r="L116" s="5" t="s">
        <v>71</v>
      </c>
      <c r="M116" s="14" t="s">
        <v>357</v>
      </c>
      <c r="N116" s="14"/>
    </row>
    <row r="117" spans="1:14">
      <c r="A117" s="10" t="s">
        <v>432</v>
      </c>
      <c r="B117" s="17" t="s">
        <v>309</v>
      </c>
      <c r="C117" s="8" t="s">
        <v>46</v>
      </c>
      <c r="D117" s="8">
        <v>94.7</v>
      </c>
      <c r="E117" s="17" t="s">
        <v>270</v>
      </c>
      <c r="F117" s="17"/>
      <c r="G117" s="17" t="s">
        <v>49</v>
      </c>
      <c r="H117" s="51"/>
      <c r="I117" s="25"/>
      <c r="J117" s="49"/>
      <c r="K117" s="5" t="s">
        <v>1168</v>
      </c>
      <c r="L117" s="5" t="s">
        <v>71</v>
      </c>
      <c r="M117" s="14" t="s">
        <v>357</v>
      </c>
      <c r="N117" s="14"/>
    </row>
    <row r="118" spans="1:14" ht="36">
      <c r="A118" s="10" t="s">
        <v>433</v>
      </c>
      <c r="B118" s="17" t="s">
        <v>17</v>
      </c>
      <c r="C118" s="8" t="s">
        <v>46</v>
      </c>
      <c r="D118" s="26" t="s">
        <v>477</v>
      </c>
      <c r="E118" s="26" t="s">
        <v>478</v>
      </c>
      <c r="F118" s="17"/>
      <c r="G118" s="17" t="s">
        <v>49</v>
      </c>
      <c r="H118" s="51"/>
      <c r="I118" s="33" t="s">
        <v>479</v>
      </c>
      <c r="J118" s="49"/>
      <c r="K118" s="5" t="s">
        <v>1168</v>
      </c>
      <c r="L118" s="5" t="s">
        <v>71</v>
      </c>
      <c r="M118" s="14" t="s">
        <v>357</v>
      </c>
      <c r="N118" s="14"/>
    </row>
    <row r="119" spans="1:14">
      <c r="A119" s="10" t="s">
        <v>434</v>
      </c>
      <c r="B119" s="17" t="s">
        <v>309</v>
      </c>
      <c r="C119" s="8" t="s">
        <v>46</v>
      </c>
      <c r="D119" s="50">
        <v>8.8666666666666707</v>
      </c>
      <c r="E119" s="17" t="s">
        <v>270</v>
      </c>
      <c r="F119" s="17"/>
      <c r="G119" s="17" t="s">
        <v>49</v>
      </c>
      <c r="H119" s="51"/>
      <c r="I119" s="25" t="s">
        <v>480</v>
      </c>
      <c r="J119" s="49"/>
      <c r="K119" s="5" t="s">
        <v>1168</v>
      </c>
      <c r="L119" s="5" t="s">
        <v>71</v>
      </c>
      <c r="M119" s="14" t="s">
        <v>357</v>
      </c>
      <c r="N119" s="14"/>
    </row>
    <row r="120" spans="1:14">
      <c r="A120" s="10" t="s">
        <v>435</v>
      </c>
      <c r="B120" s="17" t="s">
        <v>17</v>
      </c>
      <c r="C120" s="8" t="s">
        <v>46</v>
      </c>
      <c r="D120" s="8">
        <v>283.7</v>
      </c>
      <c r="E120" s="17" t="s">
        <v>467</v>
      </c>
      <c r="F120" s="17"/>
      <c r="G120" s="17" t="s">
        <v>49</v>
      </c>
      <c r="H120" s="51"/>
      <c r="I120" s="59"/>
      <c r="J120" s="49"/>
      <c r="K120" s="5" t="s">
        <v>1168</v>
      </c>
      <c r="L120" s="5" t="s">
        <v>71</v>
      </c>
      <c r="M120" s="14" t="s">
        <v>357</v>
      </c>
      <c r="N120" s="14"/>
    </row>
    <row r="121" spans="1:14">
      <c r="A121" s="10" t="s">
        <v>500</v>
      </c>
      <c r="B121" s="17" t="s">
        <v>309</v>
      </c>
      <c r="C121" s="8" t="s">
        <v>46</v>
      </c>
      <c r="D121" s="52">
        <v>5.8333333333333304</v>
      </c>
      <c r="E121" s="17" t="s">
        <v>482</v>
      </c>
      <c r="F121" s="17"/>
      <c r="G121" s="17" t="s">
        <v>49</v>
      </c>
      <c r="H121" s="51"/>
      <c r="I121" s="33" t="s">
        <v>483</v>
      </c>
      <c r="J121" s="49"/>
      <c r="K121" s="5" t="s">
        <v>1168</v>
      </c>
      <c r="L121" s="5" t="s">
        <v>71</v>
      </c>
      <c r="M121" s="14" t="s">
        <v>357</v>
      </c>
      <c r="N121" s="14"/>
    </row>
    <row r="122" spans="1:14" ht="24.75">
      <c r="A122" s="10" t="s">
        <v>501</v>
      </c>
      <c r="B122" s="17" t="s">
        <v>17</v>
      </c>
      <c r="C122" s="8" t="s">
        <v>46</v>
      </c>
      <c r="D122" s="52">
        <v>39.718000000000004</v>
      </c>
      <c r="E122" s="17" t="s">
        <v>270</v>
      </c>
      <c r="F122" s="17"/>
      <c r="G122" s="17" t="s">
        <v>49</v>
      </c>
      <c r="H122" s="51"/>
      <c r="I122" s="33" t="s">
        <v>469</v>
      </c>
      <c r="J122" s="49"/>
      <c r="K122" s="5" t="s">
        <v>1168</v>
      </c>
      <c r="L122" s="5" t="s">
        <v>71</v>
      </c>
      <c r="M122" s="14" t="s">
        <v>357</v>
      </c>
      <c r="N122" s="14"/>
    </row>
    <row r="123" spans="1:14" ht="24.75">
      <c r="A123" s="10" t="s">
        <v>502</v>
      </c>
      <c r="B123" s="17" t="s">
        <v>309</v>
      </c>
      <c r="C123" s="8" t="s">
        <v>46</v>
      </c>
      <c r="D123" s="52">
        <v>0.58333333333333304</v>
      </c>
      <c r="E123" s="17" t="s">
        <v>270</v>
      </c>
      <c r="F123" s="17"/>
      <c r="G123" s="17" t="s">
        <v>49</v>
      </c>
      <c r="H123" s="51"/>
      <c r="I123" s="33" t="s">
        <v>469</v>
      </c>
      <c r="J123" s="49"/>
      <c r="K123" s="5" t="s">
        <v>1168</v>
      </c>
      <c r="L123" s="5" t="s">
        <v>71</v>
      </c>
      <c r="M123" s="14" t="s">
        <v>357</v>
      </c>
      <c r="N123" s="14"/>
    </row>
    <row r="124" spans="1:14" ht="24.75">
      <c r="A124" s="10" t="s">
        <v>503</v>
      </c>
      <c r="B124" s="17" t="s">
        <v>17</v>
      </c>
      <c r="C124" s="8" t="s">
        <v>46</v>
      </c>
      <c r="D124" s="52">
        <v>28.37</v>
      </c>
      <c r="E124" s="17" t="s">
        <v>270</v>
      </c>
      <c r="F124" s="17"/>
      <c r="G124" s="17" t="s">
        <v>49</v>
      </c>
      <c r="H124" s="51"/>
      <c r="I124" s="33" t="s">
        <v>469</v>
      </c>
      <c r="J124" s="49"/>
      <c r="K124" s="5" t="s">
        <v>1168</v>
      </c>
      <c r="L124" s="5" t="s">
        <v>71</v>
      </c>
      <c r="M124" s="14" t="s">
        <v>357</v>
      </c>
      <c r="N124" s="14"/>
    </row>
    <row r="125" spans="1:14" ht="24.75">
      <c r="A125" s="10" t="s">
        <v>504</v>
      </c>
      <c r="B125" s="17" t="s">
        <v>309</v>
      </c>
      <c r="C125" s="8" t="s">
        <v>46</v>
      </c>
      <c r="D125" s="52">
        <v>0.58333333333333304</v>
      </c>
      <c r="E125" s="17" t="s">
        <v>270</v>
      </c>
      <c r="F125" s="17"/>
      <c r="G125" s="17" t="s">
        <v>49</v>
      </c>
      <c r="H125" s="51"/>
      <c r="I125" s="33" t="s">
        <v>469</v>
      </c>
      <c r="J125" s="49"/>
      <c r="K125" s="5" t="s">
        <v>1168</v>
      </c>
      <c r="L125" s="5" t="s">
        <v>71</v>
      </c>
      <c r="M125" s="14" t="s">
        <v>357</v>
      </c>
      <c r="N125" s="14"/>
    </row>
    <row r="126" spans="1:14" ht="24.75">
      <c r="A126" s="10" t="s">
        <v>505</v>
      </c>
      <c r="B126" s="17" t="s">
        <v>17</v>
      </c>
      <c r="C126" s="8" t="s">
        <v>46</v>
      </c>
      <c r="D126" s="52">
        <v>79.436000000000007</v>
      </c>
      <c r="E126" s="17" t="s">
        <v>270</v>
      </c>
      <c r="F126" s="17"/>
      <c r="G126" s="17" t="s">
        <v>49</v>
      </c>
      <c r="H126" s="51"/>
      <c r="I126" s="33" t="s">
        <v>469</v>
      </c>
      <c r="J126" s="49"/>
      <c r="K126" s="5" t="s">
        <v>1168</v>
      </c>
      <c r="L126" s="5" t="s">
        <v>71</v>
      </c>
      <c r="M126" s="14" t="s">
        <v>357</v>
      </c>
      <c r="N126" s="14"/>
    </row>
    <row r="127" spans="1:14" ht="24.75">
      <c r="A127" s="10" t="s">
        <v>506</v>
      </c>
      <c r="B127" s="17" t="s">
        <v>309</v>
      </c>
      <c r="C127" s="8" t="s">
        <v>46</v>
      </c>
      <c r="D127" s="52">
        <v>1.9833333333333301</v>
      </c>
      <c r="E127" s="17" t="s">
        <v>270</v>
      </c>
      <c r="F127" s="17"/>
      <c r="G127" s="17" t="s">
        <v>49</v>
      </c>
      <c r="H127" s="51"/>
      <c r="I127" s="33" t="s">
        <v>469</v>
      </c>
      <c r="J127" s="49"/>
      <c r="K127" s="5" t="s">
        <v>1168</v>
      </c>
      <c r="L127" s="5" t="s">
        <v>71</v>
      </c>
      <c r="M127" s="14" t="s">
        <v>357</v>
      </c>
      <c r="N127" s="14"/>
    </row>
    <row r="128" spans="1:14" ht="24.75">
      <c r="A128" s="10" t="s">
        <v>507</v>
      </c>
      <c r="B128" s="17" t="s">
        <v>17</v>
      </c>
      <c r="C128" s="8" t="s">
        <v>46</v>
      </c>
      <c r="D128" s="52">
        <v>17.021999999999998</v>
      </c>
      <c r="E128" s="17" t="s">
        <v>270</v>
      </c>
      <c r="F128" s="17"/>
      <c r="G128" s="17" t="s">
        <v>49</v>
      </c>
      <c r="H128" s="51"/>
      <c r="I128" s="33" t="s">
        <v>469</v>
      </c>
      <c r="J128" s="49"/>
      <c r="K128" s="5" t="s">
        <v>1168</v>
      </c>
      <c r="L128" s="5" t="s">
        <v>71</v>
      </c>
      <c r="M128" s="14" t="s">
        <v>357</v>
      </c>
      <c r="N128" s="14"/>
    </row>
    <row r="129" spans="1:14" ht="24.75">
      <c r="A129" s="10" t="s">
        <v>508</v>
      </c>
      <c r="B129" s="17" t="s">
        <v>309</v>
      </c>
      <c r="C129" s="8" t="s">
        <v>46</v>
      </c>
      <c r="D129" s="52">
        <v>0.58333333333333304</v>
      </c>
      <c r="E129" s="17" t="s">
        <v>270</v>
      </c>
      <c r="F129" s="17"/>
      <c r="G129" s="17" t="s">
        <v>49</v>
      </c>
      <c r="H129" s="51"/>
      <c r="I129" s="33" t="s">
        <v>469</v>
      </c>
      <c r="J129" s="49"/>
      <c r="K129" s="5" t="s">
        <v>1168</v>
      </c>
      <c r="L129" s="5" t="s">
        <v>71</v>
      </c>
      <c r="M129" s="14" t="s">
        <v>357</v>
      </c>
      <c r="N129" s="14"/>
    </row>
    <row r="130" spans="1:14">
      <c r="A130" s="10" t="s">
        <v>437</v>
      </c>
      <c r="B130" s="17" t="s">
        <v>17</v>
      </c>
      <c r="C130" s="8" t="s">
        <v>46</v>
      </c>
      <c r="D130" s="8">
        <v>96.5</v>
      </c>
      <c r="E130" s="17" t="s">
        <v>270</v>
      </c>
      <c r="F130" s="17"/>
      <c r="G130" s="17" t="s">
        <v>49</v>
      </c>
      <c r="H130" s="51"/>
      <c r="I130" s="33" t="s">
        <v>395</v>
      </c>
      <c r="J130" s="49"/>
      <c r="K130" s="5" t="s">
        <v>1168</v>
      </c>
      <c r="L130" s="5" t="s">
        <v>71</v>
      </c>
      <c r="M130" s="14" t="s">
        <v>357</v>
      </c>
      <c r="N130" s="14">
        <v>1</v>
      </c>
    </row>
    <row r="131" spans="1:14">
      <c r="A131" s="10" t="s">
        <v>438</v>
      </c>
      <c r="B131" s="17" t="s">
        <v>309</v>
      </c>
      <c r="C131" s="8" t="s">
        <v>46</v>
      </c>
      <c r="D131" s="8">
        <v>49.7</v>
      </c>
      <c r="E131" s="17" t="s">
        <v>270</v>
      </c>
      <c r="F131" s="17"/>
      <c r="G131" s="17" t="s">
        <v>49</v>
      </c>
      <c r="H131" s="51"/>
      <c r="I131" s="25"/>
      <c r="J131" s="49"/>
      <c r="K131" s="5" t="s">
        <v>1168</v>
      </c>
      <c r="L131" s="5" t="s">
        <v>71</v>
      </c>
      <c r="M131" s="14" t="s">
        <v>357</v>
      </c>
      <c r="N131" s="14"/>
    </row>
    <row r="132" spans="1:14">
      <c r="A132" s="10" t="s">
        <v>439</v>
      </c>
      <c r="B132" s="17" t="s">
        <v>17</v>
      </c>
      <c r="C132" s="8" t="s">
        <v>46</v>
      </c>
      <c r="D132" s="8">
        <v>65.3</v>
      </c>
      <c r="E132" s="17" t="s">
        <v>270</v>
      </c>
      <c r="F132" s="17"/>
      <c r="G132" s="17" t="s">
        <v>49</v>
      </c>
      <c r="H132" s="51"/>
      <c r="I132" s="33" t="s">
        <v>395</v>
      </c>
      <c r="J132" s="49"/>
      <c r="K132" s="5" t="s">
        <v>1168</v>
      </c>
      <c r="L132" s="5" t="s">
        <v>71</v>
      </c>
      <c r="M132" s="14" t="s">
        <v>357</v>
      </c>
      <c r="N132" s="14">
        <v>1</v>
      </c>
    </row>
    <row r="133" spans="1:14">
      <c r="A133" s="10" t="s">
        <v>440</v>
      </c>
      <c r="B133" s="17" t="s">
        <v>309</v>
      </c>
      <c r="C133" s="8" t="s">
        <v>46</v>
      </c>
      <c r="D133" s="8">
        <v>49.7</v>
      </c>
      <c r="E133" s="17" t="s">
        <v>270</v>
      </c>
      <c r="F133" s="17"/>
      <c r="G133" s="17" t="s">
        <v>49</v>
      </c>
      <c r="H133" s="51"/>
      <c r="I133" s="25"/>
      <c r="J133" s="49"/>
      <c r="K133" s="5" t="s">
        <v>1168</v>
      </c>
      <c r="L133" s="5" t="s">
        <v>71</v>
      </c>
      <c r="M133" s="14" t="s">
        <v>357</v>
      </c>
      <c r="N133" s="14"/>
    </row>
    <row r="134" spans="1:14">
      <c r="A134" s="10" t="s">
        <v>441</v>
      </c>
      <c r="B134" s="17" t="s">
        <v>17</v>
      </c>
      <c r="C134" s="8" t="s">
        <v>46</v>
      </c>
      <c r="D134" s="8">
        <v>192.9</v>
      </c>
      <c r="E134" s="17" t="s">
        <v>270</v>
      </c>
      <c r="F134" s="17"/>
      <c r="G134" s="17" t="s">
        <v>49</v>
      </c>
      <c r="H134" s="17"/>
      <c r="I134" s="33" t="s">
        <v>395</v>
      </c>
      <c r="J134" s="49"/>
      <c r="K134" s="5" t="s">
        <v>1168</v>
      </c>
      <c r="L134" s="5" t="s">
        <v>71</v>
      </c>
      <c r="M134" s="14" t="s">
        <v>357</v>
      </c>
      <c r="N134" s="14">
        <v>1</v>
      </c>
    </row>
    <row r="135" spans="1:14">
      <c r="A135" s="10" t="s">
        <v>442</v>
      </c>
      <c r="B135" s="17" t="s">
        <v>309</v>
      </c>
      <c r="C135" s="8" t="s">
        <v>46</v>
      </c>
      <c r="D135" s="8">
        <v>49.7</v>
      </c>
      <c r="E135" s="17" t="s">
        <v>270</v>
      </c>
      <c r="F135" s="17"/>
      <c r="G135" s="17" t="s">
        <v>49</v>
      </c>
      <c r="H135" s="17"/>
      <c r="I135" s="25"/>
      <c r="J135" s="49"/>
      <c r="K135" s="5" t="s">
        <v>1168</v>
      </c>
      <c r="L135" s="5" t="s">
        <v>71</v>
      </c>
      <c r="M135" s="14" t="s">
        <v>357</v>
      </c>
      <c r="N135" s="14"/>
    </row>
    <row r="136" spans="1:14">
      <c r="A136" s="10" t="s">
        <v>443</v>
      </c>
      <c r="B136" s="17" t="s">
        <v>17</v>
      </c>
      <c r="C136" s="8" t="s">
        <v>46</v>
      </c>
      <c r="D136" s="52">
        <v>170.22</v>
      </c>
      <c r="E136" s="17" t="s">
        <v>270</v>
      </c>
      <c r="F136" s="17"/>
      <c r="G136" s="17" t="s">
        <v>49</v>
      </c>
      <c r="H136" s="17"/>
      <c r="I136" s="59"/>
      <c r="J136" s="49"/>
      <c r="K136" s="5" t="s">
        <v>1168</v>
      </c>
      <c r="L136" s="5" t="s">
        <v>71</v>
      </c>
      <c r="M136" s="14" t="s">
        <v>357</v>
      </c>
      <c r="N136" s="14"/>
    </row>
    <row r="137" spans="1:14">
      <c r="A137" s="10" t="s">
        <v>444</v>
      </c>
      <c r="B137" s="17" t="s">
        <v>309</v>
      </c>
      <c r="C137" s="8" t="s">
        <v>46</v>
      </c>
      <c r="D137" s="52">
        <v>4.6666666666666696</v>
      </c>
      <c r="E137" s="17" t="s">
        <v>270</v>
      </c>
      <c r="F137" s="17"/>
      <c r="G137" s="17" t="s">
        <v>49</v>
      </c>
      <c r="H137" s="17"/>
      <c r="I137" s="25"/>
      <c r="J137" s="49"/>
      <c r="K137" s="5" t="s">
        <v>1168</v>
      </c>
      <c r="L137" s="5" t="s">
        <v>71</v>
      </c>
      <c r="M137" s="14" t="s">
        <v>357</v>
      </c>
      <c r="N137" s="14"/>
    </row>
    <row r="138" spans="1:14">
      <c r="A138" s="10" t="s">
        <v>445</v>
      </c>
      <c r="B138" s="17" t="s">
        <v>17</v>
      </c>
      <c r="C138" s="8" t="s">
        <v>46</v>
      </c>
      <c r="D138" s="50">
        <v>215.61199999999999</v>
      </c>
      <c r="E138" s="17" t="s">
        <v>270</v>
      </c>
      <c r="F138" s="17"/>
      <c r="G138" s="17" t="s">
        <v>49</v>
      </c>
      <c r="H138" s="17"/>
      <c r="I138" s="25"/>
      <c r="J138" s="49"/>
      <c r="K138" s="5" t="s">
        <v>1168</v>
      </c>
      <c r="L138" s="5" t="s">
        <v>71</v>
      </c>
      <c r="M138" s="14" t="s">
        <v>357</v>
      </c>
      <c r="N138" s="14"/>
    </row>
    <row r="139" spans="1:14">
      <c r="A139" s="10" t="s">
        <v>446</v>
      </c>
      <c r="B139" s="17" t="s">
        <v>309</v>
      </c>
      <c r="C139" s="8" t="s">
        <v>46</v>
      </c>
      <c r="D139" s="50">
        <v>9.3333333333333304</v>
      </c>
      <c r="E139" s="17" t="s">
        <v>270</v>
      </c>
      <c r="F139" s="17"/>
      <c r="G139" s="17" t="s">
        <v>49</v>
      </c>
      <c r="H139" s="17"/>
      <c r="I139" s="25"/>
      <c r="J139" s="49"/>
      <c r="K139" s="5" t="s">
        <v>1168</v>
      </c>
      <c r="L139" s="5" t="s">
        <v>71</v>
      </c>
      <c r="M139" s="14" t="s">
        <v>357</v>
      </c>
      <c r="N139" s="14"/>
    </row>
    <row r="140" spans="1:14">
      <c r="A140" s="10" t="s">
        <v>447</v>
      </c>
      <c r="B140" s="17" t="s">
        <v>17</v>
      </c>
      <c r="C140" s="8" t="s">
        <v>46</v>
      </c>
      <c r="D140" s="50">
        <v>62.414000000000001</v>
      </c>
      <c r="E140" s="17" t="s">
        <v>270</v>
      </c>
      <c r="F140" s="17"/>
      <c r="G140" s="17" t="s">
        <v>49</v>
      </c>
      <c r="H140" s="17"/>
      <c r="I140" s="25"/>
      <c r="J140" s="49"/>
      <c r="K140" s="5" t="s">
        <v>1168</v>
      </c>
      <c r="L140" s="5" t="s">
        <v>71</v>
      </c>
      <c r="M140" s="14" t="s">
        <v>357</v>
      </c>
      <c r="N140" s="14"/>
    </row>
    <row r="141" spans="1:14">
      <c r="A141" s="10" t="s">
        <v>448</v>
      </c>
      <c r="B141" s="17" t="s">
        <v>309</v>
      </c>
      <c r="C141" s="8" t="s">
        <v>46</v>
      </c>
      <c r="D141" s="50">
        <v>2.3333333333333299</v>
      </c>
      <c r="E141" s="17" t="s">
        <v>270</v>
      </c>
      <c r="F141" s="8"/>
      <c r="G141" s="17" t="s">
        <v>49</v>
      </c>
      <c r="H141" s="8"/>
      <c r="I141" s="33" t="s">
        <v>449</v>
      </c>
      <c r="J141" s="49"/>
      <c r="K141" s="5" t="s">
        <v>1168</v>
      </c>
      <c r="L141" s="5" t="s">
        <v>71</v>
      </c>
      <c r="M141" s="14" t="s">
        <v>357</v>
      </c>
      <c r="N141" s="14"/>
    </row>
    <row r="142" spans="1:14">
      <c r="A142" s="10" t="s">
        <v>450</v>
      </c>
      <c r="B142" s="17" t="s">
        <v>17</v>
      </c>
      <c r="C142" s="8" t="s">
        <v>46</v>
      </c>
      <c r="D142" s="50">
        <v>79.436000000000007</v>
      </c>
      <c r="E142" s="17" t="s">
        <v>270</v>
      </c>
      <c r="F142" s="17"/>
      <c r="G142" s="17" t="s">
        <v>49</v>
      </c>
      <c r="H142" s="51"/>
      <c r="I142" s="25"/>
      <c r="J142" s="49"/>
      <c r="K142" s="5" t="s">
        <v>1168</v>
      </c>
      <c r="L142" s="5" t="s">
        <v>71</v>
      </c>
      <c r="M142" s="14" t="s">
        <v>357</v>
      </c>
      <c r="N142" s="14"/>
    </row>
    <row r="143" spans="1:14">
      <c r="A143" s="10" t="s">
        <v>451</v>
      </c>
      <c r="B143" s="17" t="s">
        <v>309</v>
      </c>
      <c r="C143" s="8" t="s">
        <v>46</v>
      </c>
      <c r="D143" s="50">
        <v>2.8</v>
      </c>
      <c r="E143" s="17" t="s">
        <v>270</v>
      </c>
      <c r="F143" s="17"/>
      <c r="G143" s="17" t="s">
        <v>49</v>
      </c>
      <c r="H143" s="51"/>
      <c r="I143" s="25"/>
      <c r="J143" s="49"/>
      <c r="K143" s="5" t="s">
        <v>1168</v>
      </c>
      <c r="L143" s="5" t="s">
        <v>71</v>
      </c>
      <c r="M143" s="14" t="s">
        <v>357</v>
      </c>
      <c r="N143" s="14"/>
    </row>
    <row r="144" spans="1:14" ht="24.75">
      <c r="A144" s="10" t="s">
        <v>509</v>
      </c>
      <c r="B144" s="17" t="s">
        <v>17</v>
      </c>
      <c r="C144" s="8" t="s">
        <v>46</v>
      </c>
      <c r="D144" s="50">
        <v>1208.5619999999999</v>
      </c>
      <c r="E144" s="17" t="s">
        <v>270</v>
      </c>
      <c r="F144" s="17"/>
      <c r="G144" s="17" t="s">
        <v>49</v>
      </c>
      <c r="H144" s="51"/>
      <c r="I144" s="25" t="s">
        <v>510</v>
      </c>
      <c r="J144" s="49"/>
      <c r="K144" s="5" t="s">
        <v>1168</v>
      </c>
      <c r="L144" s="5" t="s">
        <v>71</v>
      </c>
      <c r="M144" s="14" t="s">
        <v>357</v>
      </c>
      <c r="N144" s="14"/>
    </row>
    <row r="145" spans="1:14" ht="24.75">
      <c r="A145" s="10" t="s">
        <v>511</v>
      </c>
      <c r="B145" s="17" t="s">
        <v>309</v>
      </c>
      <c r="C145" s="8" t="s">
        <v>46</v>
      </c>
      <c r="D145" s="50">
        <v>20.943999999999999</v>
      </c>
      <c r="E145" s="17" t="s">
        <v>270</v>
      </c>
      <c r="F145" s="17"/>
      <c r="G145" s="17" t="s">
        <v>49</v>
      </c>
      <c r="H145" s="51"/>
      <c r="I145" s="25" t="s">
        <v>510</v>
      </c>
      <c r="J145" s="49"/>
      <c r="K145" s="5" t="s">
        <v>1168</v>
      </c>
      <c r="L145" s="5" t="s">
        <v>71</v>
      </c>
      <c r="M145" s="14" t="s">
        <v>357</v>
      </c>
      <c r="N145" s="14"/>
    </row>
    <row r="146" spans="1:14" ht="24.75">
      <c r="A146" s="10" t="s">
        <v>512</v>
      </c>
      <c r="B146" s="17" t="s">
        <v>17</v>
      </c>
      <c r="C146" s="8" t="s">
        <v>46</v>
      </c>
      <c r="D146" s="52">
        <v>278.02600000000001</v>
      </c>
      <c r="E146" s="17" t="s">
        <v>270</v>
      </c>
      <c r="F146" s="17"/>
      <c r="G146" s="17" t="s">
        <v>49</v>
      </c>
      <c r="H146" s="51"/>
      <c r="I146" s="33" t="s">
        <v>469</v>
      </c>
      <c r="J146" s="49"/>
      <c r="K146" s="5" t="s">
        <v>1168</v>
      </c>
      <c r="L146" s="5" t="s">
        <v>71</v>
      </c>
      <c r="M146" s="14" t="s">
        <v>357</v>
      </c>
      <c r="N146" s="14"/>
    </row>
    <row r="147" spans="1:14" ht="24.75">
      <c r="A147" s="10" t="s">
        <v>513</v>
      </c>
      <c r="B147" s="17" t="s">
        <v>309</v>
      </c>
      <c r="C147" s="8" t="s">
        <v>46</v>
      </c>
      <c r="D147" s="52">
        <v>3.12666666666667</v>
      </c>
      <c r="E147" s="17" t="s">
        <v>270</v>
      </c>
      <c r="F147" s="17"/>
      <c r="G147" s="17" t="s">
        <v>49</v>
      </c>
      <c r="H147" s="51"/>
      <c r="I147" s="33" t="s">
        <v>469</v>
      </c>
      <c r="J147" s="49"/>
      <c r="K147" s="5" t="s">
        <v>1168</v>
      </c>
      <c r="L147" s="5" t="s">
        <v>71</v>
      </c>
      <c r="M147" s="14" t="s">
        <v>357</v>
      </c>
      <c r="N147" s="14"/>
    </row>
    <row r="148" spans="1:14" ht="24.75">
      <c r="A148" s="10" t="s">
        <v>514</v>
      </c>
      <c r="B148" s="17" t="s">
        <v>17</v>
      </c>
      <c r="C148" s="8" t="s">
        <v>46</v>
      </c>
      <c r="D148" s="52">
        <v>198.59</v>
      </c>
      <c r="E148" s="17" t="s">
        <v>270</v>
      </c>
      <c r="F148" s="17"/>
      <c r="G148" s="17" t="s">
        <v>49</v>
      </c>
      <c r="H148" s="51"/>
      <c r="I148" s="33" t="s">
        <v>469</v>
      </c>
      <c r="J148" s="49"/>
      <c r="K148" s="5" t="s">
        <v>1168</v>
      </c>
      <c r="L148" s="5" t="s">
        <v>71</v>
      </c>
      <c r="M148" s="14" t="s">
        <v>357</v>
      </c>
      <c r="N148" s="14"/>
    </row>
    <row r="149" spans="1:14" ht="24.75">
      <c r="A149" s="10" t="s">
        <v>515</v>
      </c>
      <c r="B149" s="17" t="s">
        <v>309</v>
      </c>
      <c r="C149" s="8" t="s">
        <v>46</v>
      </c>
      <c r="D149" s="52">
        <v>3.12666666666667</v>
      </c>
      <c r="E149" s="17" t="s">
        <v>270</v>
      </c>
      <c r="F149" s="17"/>
      <c r="G149" s="17" t="s">
        <v>49</v>
      </c>
      <c r="H149" s="51"/>
      <c r="I149" s="33" t="s">
        <v>469</v>
      </c>
      <c r="J149" s="49"/>
      <c r="K149" s="5" t="s">
        <v>1168</v>
      </c>
      <c r="L149" s="5" t="s">
        <v>71</v>
      </c>
      <c r="M149" s="14" t="s">
        <v>357</v>
      </c>
      <c r="N149" s="14"/>
    </row>
    <row r="150" spans="1:14" ht="24.75">
      <c r="A150" s="10" t="s">
        <v>516</v>
      </c>
      <c r="B150" s="17" t="s">
        <v>17</v>
      </c>
      <c r="C150" s="8" t="s">
        <v>46</v>
      </c>
      <c r="D150" s="52">
        <v>556.05200000000002</v>
      </c>
      <c r="E150" s="17" t="s">
        <v>270</v>
      </c>
      <c r="F150" s="17"/>
      <c r="G150" s="17" t="s">
        <v>49</v>
      </c>
      <c r="H150" s="51"/>
      <c r="I150" s="33" t="s">
        <v>469</v>
      </c>
      <c r="J150" s="49"/>
      <c r="K150" s="5" t="s">
        <v>1168</v>
      </c>
      <c r="L150" s="5" t="s">
        <v>71</v>
      </c>
      <c r="M150" s="14" t="s">
        <v>357</v>
      </c>
      <c r="N150" s="14"/>
    </row>
    <row r="151" spans="1:14" ht="24.75">
      <c r="A151" s="10" t="s">
        <v>517</v>
      </c>
      <c r="B151" s="17" t="s">
        <v>309</v>
      </c>
      <c r="C151" s="8" t="s">
        <v>46</v>
      </c>
      <c r="D151" s="52">
        <v>10.6306666666667</v>
      </c>
      <c r="E151" s="17" t="s">
        <v>270</v>
      </c>
      <c r="F151" s="17"/>
      <c r="G151" s="17" t="s">
        <v>49</v>
      </c>
      <c r="H151" s="51"/>
      <c r="I151" s="33" t="s">
        <v>469</v>
      </c>
      <c r="J151" s="49"/>
      <c r="K151" s="5" t="s">
        <v>1168</v>
      </c>
      <c r="L151" s="5" t="s">
        <v>71</v>
      </c>
      <c r="M151" s="14" t="s">
        <v>357</v>
      </c>
      <c r="N151" s="14"/>
    </row>
    <row r="152" spans="1:14" ht="24.75">
      <c r="A152" s="10" t="s">
        <v>518</v>
      </c>
      <c r="B152" s="17" t="s">
        <v>17</v>
      </c>
      <c r="C152" s="8" t="s">
        <v>46</v>
      </c>
      <c r="D152" s="52">
        <v>119.154</v>
      </c>
      <c r="E152" s="17" t="s">
        <v>270</v>
      </c>
      <c r="F152" s="17"/>
      <c r="G152" s="17" t="s">
        <v>49</v>
      </c>
      <c r="H152" s="51"/>
      <c r="I152" s="33" t="s">
        <v>469</v>
      </c>
      <c r="J152" s="49"/>
      <c r="K152" s="5" t="s">
        <v>1168</v>
      </c>
      <c r="L152" s="5" t="s">
        <v>71</v>
      </c>
      <c r="M152" s="14" t="s">
        <v>357</v>
      </c>
      <c r="N152" s="14"/>
    </row>
    <row r="153" spans="1:14" ht="24.75">
      <c r="A153" s="10" t="s">
        <v>519</v>
      </c>
      <c r="B153" s="17" t="s">
        <v>309</v>
      </c>
      <c r="C153" s="8" t="s">
        <v>46</v>
      </c>
      <c r="D153" s="52">
        <v>3.12666666666667</v>
      </c>
      <c r="E153" s="17" t="s">
        <v>270</v>
      </c>
      <c r="F153" s="17"/>
      <c r="G153" s="17" t="s">
        <v>49</v>
      </c>
      <c r="H153" s="51"/>
      <c r="I153" s="33" t="s">
        <v>469</v>
      </c>
      <c r="J153" s="49"/>
      <c r="K153" s="5" t="s">
        <v>1168</v>
      </c>
      <c r="L153" s="5" t="s">
        <v>71</v>
      </c>
      <c r="M153" s="14" t="s">
        <v>357</v>
      </c>
      <c r="N153" s="14"/>
    </row>
    <row r="154" spans="1:14">
      <c r="A154" s="10" t="s">
        <v>452</v>
      </c>
      <c r="B154" s="17" t="s">
        <v>17</v>
      </c>
      <c r="C154" s="8" t="s">
        <v>46</v>
      </c>
      <c r="D154" s="52">
        <v>1021.32</v>
      </c>
      <c r="E154" s="17" t="s">
        <v>270</v>
      </c>
      <c r="F154" s="26"/>
      <c r="G154" s="17" t="s">
        <v>49</v>
      </c>
      <c r="H154" s="5"/>
      <c r="I154" s="59"/>
      <c r="J154" s="56"/>
      <c r="K154" s="5" t="s">
        <v>1168</v>
      </c>
      <c r="L154" s="5" t="s">
        <v>71</v>
      </c>
      <c r="M154" s="14" t="s">
        <v>357</v>
      </c>
      <c r="N154" s="14"/>
    </row>
    <row r="155" spans="1:14">
      <c r="A155" s="10" t="s">
        <v>453</v>
      </c>
      <c r="B155" s="17" t="s">
        <v>309</v>
      </c>
      <c r="C155" s="8" t="s">
        <v>46</v>
      </c>
      <c r="D155" s="52">
        <v>93.3333333333333</v>
      </c>
      <c r="E155" s="17" t="s">
        <v>270</v>
      </c>
      <c r="F155" s="26"/>
      <c r="G155" s="17" t="s">
        <v>49</v>
      </c>
      <c r="H155" s="5"/>
      <c r="I155" s="33"/>
      <c r="J155" s="56"/>
      <c r="K155" s="5" t="s">
        <v>1168</v>
      </c>
      <c r="L155" s="5" t="s">
        <v>71</v>
      </c>
      <c r="M155" s="14" t="s">
        <v>357</v>
      </c>
      <c r="N155" s="14"/>
    </row>
    <row r="156" spans="1:14">
      <c r="F156" s="2"/>
      <c r="G156" s="2"/>
    </row>
    <row r="157" spans="1:14">
      <c r="F157" s="2"/>
      <c r="G157" s="2"/>
    </row>
    <row r="158" spans="1:14">
      <c r="E158" s="2"/>
    </row>
    <row r="159" spans="1:14">
      <c r="E159" s="2"/>
    </row>
  </sheetData>
  <pageMargins left="0.7" right="0.7" top="0.75" bottom="0.75"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H2"/>
  <sheetViews>
    <sheetView zoomScaleNormal="100" workbookViewId="0">
      <pane xSplit="1" ySplit="1" topLeftCell="B2" activePane="bottomRight" state="frozen"/>
      <selection pane="topRight" activeCell="B1" sqref="B1"/>
      <selection pane="bottomLeft" activeCell="A2" sqref="A2"/>
      <selection pane="bottomRight"/>
    </sheetView>
  </sheetViews>
  <sheetFormatPr defaultColWidth="9.140625" defaultRowHeight="15"/>
  <cols>
    <col min="1" max="1" width="20.7109375" style="1" customWidth="1"/>
    <col min="2" max="2" width="9.85546875" style="1" customWidth="1"/>
    <col min="3" max="5" width="18.5703125" style="45" customWidth="1"/>
    <col min="6" max="6" width="9.140625" style="45"/>
    <col min="7" max="8" width="17.28515625" style="1" customWidth="1"/>
    <col min="9" max="9" width="11.42578125" style="1" customWidth="1"/>
    <col min="10" max="10" width="17.28515625" style="1" customWidth="1"/>
    <col min="11" max="11" width="29.7109375" style="1" customWidth="1"/>
    <col min="12" max="12" width="21.42578125" style="1" customWidth="1"/>
    <col min="13" max="13" width="18.28515625" style="1" customWidth="1"/>
    <col min="14" max="14" width="11.5703125" style="1" customWidth="1"/>
    <col min="15" max="15" width="14" style="1" customWidth="1"/>
    <col min="16" max="1022" width="9.140625" style="1"/>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s="63" customFormat="1" ht="72">
      <c r="A2" s="61" t="s">
        <v>520</v>
      </c>
      <c r="B2" s="5" t="s">
        <v>521</v>
      </c>
      <c r="C2" s="8" t="s">
        <v>46</v>
      </c>
      <c r="D2" s="8"/>
      <c r="E2" s="8"/>
      <c r="F2" s="5" t="s">
        <v>522</v>
      </c>
      <c r="G2" s="5" t="s">
        <v>523</v>
      </c>
      <c r="H2" s="62"/>
      <c r="I2" s="5" t="s">
        <v>49</v>
      </c>
      <c r="J2" s="5"/>
      <c r="K2" s="26" t="s">
        <v>524</v>
      </c>
      <c r="L2" s="5"/>
      <c r="M2" s="5" t="s">
        <v>525</v>
      </c>
      <c r="N2" s="5" t="s">
        <v>51</v>
      </c>
      <c r="O2" s="5" t="s">
        <v>52</v>
      </c>
      <c r="P2" s="5"/>
    </row>
  </sheetData>
  <pageMargins left="0.7" right="0.7" top="0.75" bottom="0.75"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3"/>
  <sheetViews>
    <sheetView zoomScaleNormal="100" workbookViewId="0">
      <pane xSplit="1" topLeftCell="B1" activePane="topRight" state="frozen"/>
      <selection pane="topRight" activeCell="G19" sqref="G19"/>
    </sheetView>
  </sheetViews>
  <sheetFormatPr defaultColWidth="8.5703125" defaultRowHeight="15"/>
  <cols>
    <col min="1" max="1" width="29.85546875" customWidth="1"/>
    <col min="2" max="2" width="16.85546875" customWidth="1"/>
    <col min="3" max="3" width="16.7109375" customWidth="1"/>
    <col min="4" max="5" width="18.5703125" style="45" customWidth="1"/>
    <col min="6" max="6" width="12.5703125" customWidth="1"/>
    <col min="7" max="9" width="23.5703125" customWidth="1"/>
    <col min="10" max="10" width="30.85546875" customWidth="1"/>
    <col min="11" max="11" width="28.42578125" customWidth="1"/>
    <col min="12" max="12" width="46.140625" customWidth="1"/>
    <col min="13" max="13" width="9.140625" style="64" customWidth="1"/>
    <col min="14" max="14" width="11.5703125" style="1" customWidth="1"/>
    <col min="15" max="15" width="16" customWidth="1"/>
    <col min="16" max="16" width="10.140625" customWidth="1"/>
  </cols>
  <sheetData>
    <row r="1" spans="1:16" ht="24">
      <c r="A1" s="65"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ht="24">
      <c r="A2" s="48" t="s">
        <v>526</v>
      </c>
      <c r="B2" s="14"/>
      <c r="C2" s="8"/>
      <c r="D2" s="8"/>
      <c r="E2" s="8"/>
      <c r="F2" s="14"/>
      <c r="G2" s="14"/>
      <c r="H2" s="14"/>
      <c r="I2" s="5"/>
      <c r="J2" s="8" t="s">
        <v>527</v>
      </c>
      <c r="K2" s="14"/>
      <c r="L2" s="59"/>
      <c r="M2" s="66" t="s">
        <v>528</v>
      </c>
      <c r="N2" s="5"/>
      <c r="O2" s="66" t="s">
        <v>52</v>
      </c>
      <c r="P2" s="66"/>
    </row>
    <row r="3" spans="1:16">
      <c r="A3" s="67" t="s">
        <v>529</v>
      </c>
      <c r="B3" s="14" t="s">
        <v>530</v>
      </c>
      <c r="C3" s="8" t="s">
        <v>46</v>
      </c>
      <c r="D3" s="8"/>
      <c r="E3" s="8"/>
      <c r="F3" s="14">
        <v>37</v>
      </c>
      <c r="G3" s="14" t="s">
        <v>55</v>
      </c>
      <c r="H3" s="59"/>
      <c r="I3" s="5" t="s">
        <v>49</v>
      </c>
      <c r="J3" s="14"/>
      <c r="K3" s="14"/>
      <c r="L3" s="59"/>
      <c r="M3" s="66" t="s">
        <v>528</v>
      </c>
      <c r="N3" s="5" t="s">
        <v>71</v>
      </c>
      <c r="O3" s="66" t="s">
        <v>52</v>
      </c>
      <c r="P3" s="66">
        <v>1</v>
      </c>
    </row>
    <row r="4" spans="1:16">
      <c r="A4" s="68" t="s">
        <v>531</v>
      </c>
      <c r="B4" s="69" t="s">
        <v>532</v>
      </c>
      <c r="C4" s="70" t="s">
        <v>46</v>
      </c>
      <c r="D4" s="70"/>
      <c r="E4" s="70"/>
      <c r="F4" s="2">
        <v>0.17599999999999999</v>
      </c>
      <c r="G4" s="69" t="s">
        <v>533</v>
      </c>
      <c r="H4" s="71"/>
      <c r="I4" s="72" t="s">
        <v>49</v>
      </c>
      <c r="J4" s="69"/>
      <c r="K4" s="69" t="s">
        <v>534</v>
      </c>
      <c r="L4" s="71"/>
      <c r="M4" s="73" t="s">
        <v>528</v>
      </c>
      <c r="N4" s="72" t="s">
        <v>140</v>
      </c>
      <c r="O4" s="73" t="s">
        <v>52</v>
      </c>
      <c r="P4" s="73">
        <v>3</v>
      </c>
    </row>
    <row r="5" spans="1:16" s="45" customFormat="1">
      <c r="A5" s="48" t="s">
        <v>535</v>
      </c>
      <c r="B5" s="14"/>
      <c r="C5" s="14"/>
      <c r="D5" s="8"/>
      <c r="E5" s="8"/>
      <c r="F5" s="14"/>
      <c r="G5" s="14"/>
      <c r="H5" s="14"/>
      <c r="I5" s="5"/>
      <c r="J5" s="14" t="s">
        <v>536</v>
      </c>
      <c r="K5" s="14"/>
      <c r="L5" s="14"/>
      <c r="M5" s="66" t="s">
        <v>528</v>
      </c>
      <c r="N5" s="14"/>
      <c r="O5" s="66" t="s">
        <v>52</v>
      </c>
      <c r="P5" s="66"/>
    </row>
    <row r="6" spans="1:16" ht="24">
      <c r="A6" s="74" t="s">
        <v>537</v>
      </c>
      <c r="B6" s="75"/>
      <c r="C6" s="11"/>
      <c r="D6" s="11"/>
      <c r="E6" s="11"/>
      <c r="F6" s="75"/>
      <c r="G6" s="75"/>
      <c r="H6" s="75"/>
      <c r="I6" s="76"/>
      <c r="J6" s="11" t="s">
        <v>538</v>
      </c>
      <c r="K6" s="75"/>
      <c r="L6" s="77"/>
      <c r="M6" s="78" t="s">
        <v>528</v>
      </c>
      <c r="N6" s="76"/>
      <c r="O6" s="78" t="s">
        <v>52</v>
      </c>
      <c r="P6" s="78"/>
    </row>
    <row r="7" spans="1:16">
      <c r="A7" s="67" t="s">
        <v>539</v>
      </c>
      <c r="B7" s="14" t="s">
        <v>540</v>
      </c>
      <c r="C7" s="8" t="s">
        <v>46</v>
      </c>
      <c r="D7" s="8"/>
      <c r="E7" s="8"/>
      <c r="F7" s="14">
        <v>308</v>
      </c>
      <c r="G7" s="14" t="s">
        <v>541</v>
      </c>
      <c r="H7" s="59"/>
      <c r="I7" s="5" t="s">
        <v>49</v>
      </c>
      <c r="J7" s="14"/>
      <c r="K7" s="14"/>
      <c r="L7" s="59"/>
      <c r="M7" s="66" t="s">
        <v>528</v>
      </c>
      <c r="N7" s="5" t="s">
        <v>71</v>
      </c>
      <c r="O7" s="66" t="s">
        <v>52</v>
      </c>
      <c r="P7" s="66"/>
    </row>
    <row r="8" spans="1:16">
      <c r="A8" s="67" t="s">
        <v>542</v>
      </c>
      <c r="B8" s="14" t="s">
        <v>543</v>
      </c>
      <c r="C8" s="8" t="s">
        <v>46</v>
      </c>
      <c r="D8" s="8"/>
      <c r="E8" s="8"/>
      <c r="F8" s="14">
        <v>1.3</v>
      </c>
      <c r="G8" s="14" t="s">
        <v>544</v>
      </c>
      <c r="H8" s="59"/>
      <c r="I8" s="5" t="s">
        <v>49</v>
      </c>
      <c r="J8" s="14"/>
      <c r="K8" s="14"/>
      <c r="L8" s="59"/>
      <c r="M8" s="66" t="s">
        <v>528</v>
      </c>
      <c r="N8" s="5" t="s">
        <v>71</v>
      </c>
      <c r="O8" s="66" t="s">
        <v>52</v>
      </c>
      <c r="P8" s="66">
        <v>2</v>
      </c>
    </row>
    <row r="9" spans="1:16">
      <c r="A9" s="67" t="s">
        <v>545</v>
      </c>
      <c r="B9" s="14" t="s">
        <v>530</v>
      </c>
      <c r="C9" s="8" t="s">
        <v>46</v>
      </c>
      <c r="D9" s="8"/>
      <c r="E9" s="8"/>
      <c r="F9" s="14">
        <v>33</v>
      </c>
      <c r="G9" s="14" t="s">
        <v>55</v>
      </c>
      <c r="H9" s="59"/>
      <c r="I9" s="5" t="s">
        <v>49</v>
      </c>
      <c r="J9" s="14"/>
      <c r="K9" s="14"/>
      <c r="L9" s="59"/>
      <c r="M9" s="66" t="s">
        <v>528</v>
      </c>
      <c r="N9" s="5" t="s">
        <v>71</v>
      </c>
      <c r="O9" s="66" t="s">
        <v>52</v>
      </c>
      <c r="P9" s="66">
        <v>1</v>
      </c>
    </row>
    <row r="10" spans="1:16" ht="24">
      <c r="A10" s="67" t="s">
        <v>1169</v>
      </c>
      <c r="B10" s="14" t="s">
        <v>776</v>
      </c>
      <c r="C10" s="8" t="s">
        <v>46</v>
      </c>
      <c r="D10" s="8"/>
      <c r="E10" s="8"/>
      <c r="F10" s="14">
        <v>347</v>
      </c>
      <c r="G10" s="14" t="s">
        <v>1171</v>
      </c>
      <c r="H10" s="13"/>
      <c r="I10" s="5" t="s">
        <v>49</v>
      </c>
      <c r="J10" s="8" t="s">
        <v>1170</v>
      </c>
      <c r="K10" s="13"/>
      <c r="L10" s="59"/>
      <c r="M10" s="66" t="s">
        <v>528</v>
      </c>
      <c r="N10" s="5" t="s">
        <v>71</v>
      </c>
      <c r="O10" s="66" t="s">
        <v>52</v>
      </c>
      <c r="P10" s="66">
        <v>2</v>
      </c>
    </row>
    <row r="11" spans="1:16">
      <c r="A11" s="67" t="s">
        <v>546</v>
      </c>
      <c r="B11" s="14" t="s">
        <v>547</v>
      </c>
      <c r="C11" s="8" t="s">
        <v>46</v>
      </c>
      <c r="D11" s="8"/>
      <c r="E11" s="8"/>
      <c r="F11" s="14" t="s">
        <v>548</v>
      </c>
      <c r="G11" s="14" t="s">
        <v>549</v>
      </c>
      <c r="H11" s="59"/>
      <c r="I11" s="5" t="s">
        <v>49</v>
      </c>
      <c r="J11" s="14" t="s">
        <v>550</v>
      </c>
      <c r="K11" s="14" t="s">
        <v>551</v>
      </c>
      <c r="L11" s="59"/>
      <c r="M11" s="66" t="s">
        <v>528</v>
      </c>
      <c r="N11" s="5" t="s">
        <v>57</v>
      </c>
      <c r="O11" s="66" t="s">
        <v>52</v>
      </c>
      <c r="P11" s="66"/>
    </row>
    <row r="12" spans="1:16" ht="24">
      <c r="A12" s="48" t="s">
        <v>552</v>
      </c>
      <c r="B12" s="13"/>
      <c r="C12" s="8"/>
      <c r="D12" s="8"/>
      <c r="E12" s="8"/>
      <c r="F12" s="13"/>
      <c r="G12" s="13"/>
      <c r="H12" s="13"/>
      <c r="I12" s="5"/>
      <c r="J12" s="8" t="s">
        <v>538</v>
      </c>
      <c r="K12" s="13"/>
      <c r="L12" s="59"/>
      <c r="M12" s="66" t="s">
        <v>528</v>
      </c>
      <c r="N12" s="5"/>
      <c r="O12" s="66" t="s">
        <v>52</v>
      </c>
      <c r="P12" s="66"/>
    </row>
    <row r="13" spans="1:16">
      <c r="O13" s="64"/>
      <c r="P13" s="64"/>
    </row>
  </sheetData>
  <pageMargins left="0.7" right="0.7" top="0.75" bottom="0.75"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H2"/>
  <sheetViews>
    <sheetView zoomScaleNormal="100" workbookViewId="0">
      <pane xSplit="1" ySplit="1" topLeftCell="B2" activePane="bottomRight" state="frozen"/>
      <selection pane="topRight" activeCell="B1" sqref="B1"/>
      <selection pane="bottomLeft" activeCell="A2" sqref="A2"/>
      <selection pane="bottomRight"/>
    </sheetView>
  </sheetViews>
  <sheetFormatPr defaultColWidth="9.140625" defaultRowHeight="15"/>
  <cols>
    <col min="1" max="1" width="26.42578125" style="1" customWidth="1"/>
    <col min="2" max="2" width="17.7109375" style="1" customWidth="1"/>
    <col min="3" max="3" width="16.5703125" style="1" customWidth="1"/>
    <col min="4" max="5" width="18.5703125" style="45" customWidth="1"/>
    <col min="6" max="6" width="15.28515625" style="1" customWidth="1"/>
    <col min="7" max="7" width="31.42578125" style="1" customWidth="1"/>
    <col min="8" max="9" width="12" style="1" customWidth="1"/>
    <col min="10" max="10" width="5.140625" style="1" customWidth="1"/>
    <col min="11" max="11" width="44.7109375" style="47" customWidth="1"/>
    <col min="12" max="12" width="6.7109375" style="1" customWidth="1"/>
    <col min="13" max="13" width="15.28515625" style="45" customWidth="1"/>
    <col min="14" max="14" width="11.5703125" style="1" customWidth="1"/>
    <col min="15" max="15" width="16.140625" style="1" customWidth="1"/>
    <col min="16" max="1022" width="9.140625" style="1"/>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79" t="s">
        <v>553</v>
      </c>
      <c r="B2" s="18" t="s">
        <v>14</v>
      </c>
      <c r="C2" s="18" t="s">
        <v>46</v>
      </c>
      <c r="D2" s="8"/>
      <c r="E2" s="8"/>
      <c r="F2" s="18" t="s">
        <v>554</v>
      </c>
      <c r="G2" s="18" t="s">
        <v>555</v>
      </c>
      <c r="H2" s="18"/>
      <c r="I2" s="18" t="s">
        <v>49</v>
      </c>
      <c r="J2" s="18"/>
      <c r="K2" s="18" t="s">
        <v>556</v>
      </c>
      <c r="L2" s="14"/>
      <c r="M2" s="14" t="s">
        <v>557</v>
      </c>
      <c r="N2" s="5" t="s">
        <v>71</v>
      </c>
      <c r="O2" s="14" t="s">
        <v>52</v>
      </c>
      <c r="P2" s="14"/>
    </row>
  </sheetData>
  <pageMargins left="0.7" right="0.7" top="0.75" bottom="0.75"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H7"/>
  <sheetViews>
    <sheetView zoomScaleNormal="100" workbookViewId="0">
      <pane xSplit="1" topLeftCell="B1" activePane="topRight" state="frozen"/>
      <selection pane="topRight" activeCell="F24" sqref="F24"/>
    </sheetView>
  </sheetViews>
  <sheetFormatPr defaultColWidth="9.140625" defaultRowHeight="15"/>
  <cols>
    <col min="1" max="1" width="28.28515625" style="45" customWidth="1"/>
    <col min="2" max="2" width="9.85546875" style="45" customWidth="1"/>
    <col min="3" max="3" width="20" style="45" customWidth="1"/>
    <col min="4" max="5" width="18.5703125" style="45" customWidth="1"/>
    <col min="6" max="6" width="9.140625" style="45"/>
    <col min="7" max="9" width="17.28515625" style="45" customWidth="1"/>
    <col min="10" max="11" width="14.7109375" style="45" customWidth="1"/>
    <col min="12" max="13" width="9.140625" style="45"/>
    <col min="14" max="14" width="11.5703125" style="1" customWidth="1"/>
    <col min="15" max="15" width="14.28515625" style="45" customWidth="1"/>
    <col min="16" max="1022" width="9.140625" style="45"/>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80" t="s">
        <v>558</v>
      </c>
      <c r="B2" s="14"/>
      <c r="C2" s="14"/>
      <c r="D2" s="14"/>
      <c r="E2" s="14"/>
      <c r="F2" s="14"/>
      <c r="G2" s="14"/>
      <c r="H2" s="14"/>
      <c r="I2" s="14"/>
      <c r="J2" s="14"/>
      <c r="K2" s="14"/>
      <c r="L2" s="14"/>
      <c r="M2" s="14"/>
      <c r="N2" s="5"/>
      <c r="O2" s="14" t="s">
        <v>52</v>
      </c>
      <c r="P2" s="14">
        <v>9</v>
      </c>
    </row>
    <row r="3" spans="1:16">
      <c r="A3" s="80" t="s">
        <v>559</v>
      </c>
      <c r="B3" s="14"/>
      <c r="C3" s="14"/>
      <c r="D3" s="14"/>
      <c r="E3" s="14"/>
      <c r="F3" s="14"/>
      <c r="G3" s="14"/>
      <c r="H3" s="14"/>
      <c r="I3" s="14"/>
      <c r="J3" s="14"/>
      <c r="K3" s="14"/>
      <c r="L3" s="14"/>
      <c r="M3" s="14"/>
      <c r="N3" s="5"/>
      <c r="O3" s="14" t="s">
        <v>52</v>
      </c>
      <c r="P3" s="14">
        <v>9</v>
      </c>
    </row>
    <row r="4" spans="1:16">
      <c r="A4" s="80" t="s">
        <v>560</v>
      </c>
      <c r="B4" s="14"/>
      <c r="C4" s="14"/>
      <c r="D4" s="14"/>
      <c r="E4" s="14"/>
      <c r="F4" s="14"/>
      <c r="G4" s="14"/>
      <c r="H4" s="14"/>
      <c r="I4" s="14"/>
      <c r="J4" s="14"/>
      <c r="K4" s="14"/>
      <c r="L4" s="14"/>
      <c r="M4" s="14"/>
      <c r="N4" s="5"/>
      <c r="O4" s="14" t="s">
        <v>52</v>
      </c>
      <c r="P4" s="14">
        <v>9</v>
      </c>
    </row>
    <row r="5" spans="1:16">
      <c r="A5" s="80" t="s">
        <v>561</v>
      </c>
      <c r="B5" s="14"/>
      <c r="C5" s="14"/>
      <c r="D5" s="14"/>
      <c r="E5" s="14"/>
      <c r="F5" s="14"/>
      <c r="G5" s="14"/>
      <c r="H5" s="14"/>
      <c r="I5" s="14"/>
      <c r="J5" s="14"/>
      <c r="K5" s="14"/>
      <c r="L5" s="14"/>
      <c r="M5" s="14"/>
      <c r="N5" s="5"/>
      <c r="O5" s="14" t="s">
        <v>52</v>
      </c>
      <c r="P5" s="14">
        <v>9</v>
      </c>
    </row>
    <row r="6" spans="1:16">
      <c r="A6" s="80" t="s">
        <v>562</v>
      </c>
      <c r="B6" s="14"/>
      <c r="C6" s="14"/>
      <c r="D6" s="14"/>
      <c r="E6" s="14"/>
      <c r="F6" s="14"/>
      <c r="G6" s="14"/>
      <c r="H6" s="14"/>
      <c r="I6" s="14"/>
      <c r="J6" s="14"/>
      <c r="K6" s="14"/>
      <c r="L6" s="14"/>
      <c r="M6" s="14"/>
      <c r="N6" s="5"/>
      <c r="O6" s="14" t="s">
        <v>52</v>
      </c>
      <c r="P6" s="14"/>
    </row>
    <row r="7" spans="1:16">
      <c r="A7" s="80" t="s">
        <v>563</v>
      </c>
      <c r="B7" s="14"/>
      <c r="C7" s="14"/>
      <c r="D7" s="14"/>
      <c r="E7" s="14"/>
      <c r="F7" s="14"/>
      <c r="G7" s="14"/>
      <c r="H7" s="14"/>
      <c r="I7" s="14"/>
      <c r="J7" s="14"/>
      <c r="K7" s="14"/>
      <c r="L7" s="14"/>
      <c r="M7" s="14"/>
      <c r="N7" s="5"/>
      <c r="O7" s="14" t="s">
        <v>52</v>
      </c>
      <c r="P7" s="14"/>
    </row>
  </sheetData>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H157"/>
  <sheetViews>
    <sheetView tabSelected="1" topLeftCell="A131" zoomScaleNormal="100" workbookViewId="0">
      <pane xSplit="1" topLeftCell="B1" activePane="topRight" state="frozen"/>
      <selection pane="topRight" activeCell="G146" sqref="G146"/>
    </sheetView>
  </sheetViews>
  <sheetFormatPr defaultColWidth="9.140625" defaultRowHeight="15"/>
  <cols>
    <col min="1" max="1" width="38.42578125" style="1" customWidth="1"/>
    <col min="2" max="2" width="14.85546875" style="1" customWidth="1"/>
    <col min="3" max="3" width="17.42578125" style="1" customWidth="1"/>
    <col min="4" max="5" width="18.5703125" style="45" customWidth="1"/>
    <col min="6" max="6" width="19.7109375" style="81" customWidth="1"/>
    <col min="7" max="7" width="24.5703125" style="81" customWidth="1"/>
    <col min="8" max="8" width="28.5703125" style="1" customWidth="1"/>
    <col min="9" max="9" width="11.42578125" style="1" customWidth="1"/>
    <col min="10" max="10" width="46.28515625" style="1" bestFit="1" customWidth="1"/>
    <col min="11" max="11" width="41.85546875" style="1" customWidth="1"/>
    <col min="12" max="12" width="51.140625" style="1" customWidth="1"/>
    <col min="13" max="13" width="19.42578125" style="2" customWidth="1"/>
    <col min="14" max="14" width="12.5703125" style="1" customWidth="1"/>
    <col min="15" max="15" width="18.140625" style="45" customWidth="1"/>
    <col min="16" max="16" width="9.140625" style="45"/>
    <col min="17" max="1022" width="9.140625" style="1"/>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10" t="s">
        <v>564</v>
      </c>
      <c r="B2" s="8"/>
      <c r="C2" s="8" t="s">
        <v>46</v>
      </c>
      <c r="D2" s="8"/>
      <c r="E2" s="8"/>
      <c r="F2" s="8">
        <v>0.2</v>
      </c>
      <c r="G2" s="8" t="s">
        <v>15</v>
      </c>
      <c r="H2" s="8">
        <v>317</v>
      </c>
      <c r="I2" s="8" t="s">
        <v>49</v>
      </c>
      <c r="J2" s="8" t="s">
        <v>565</v>
      </c>
      <c r="K2" s="8"/>
      <c r="L2" s="4"/>
      <c r="M2" s="5" t="s">
        <v>566</v>
      </c>
      <c r="N2" s="5" t="s">
        <v>51</v>
      </c>
      <c r="O2" s="14" t="s">
        <v>52</v>
      </c>
      <c r="P2" s="14">
        <v>2</v>
      </c>
    </row>
    <row r="3" spans="1:16">
      <c r="A3" s="10" t="s">
        <v>567</v>
      </c>
      <c r="B3" s="8" t="s">
        <v>568</v>
      </c>
      <c r="C3" s="8" t="s">
        <v>46</v>
      </c>
      <c r="D3" s="8"/>
      <c r="E3" s="8"/>
      <c r="F3" s="8">
        <v>180</v>
      </c>
      <c r="G3" s="8" t="s">
        <v>15</v>
      </c>
      <c r="H3" s="8">
        <v>315</v>
      </c>
      <c r="I3" s="8" t="s">
        <v>569</v>
      </c>
      <c r="J3" s="8"/>
      <c r="K3" s="8"/>
      <c r="L3" s="13"/>
      <c r="M3" s="5" t="s">
        <v>566</v>
      </c>
      <c r="N3" s="5" t="s">
        <v>71</v>
      </c>
      <c r="O3" s="14" t="s">
        <v>52</v>
      </c>
      <c r="P3" s="14"/>
    </row>
    <row r="4" spans="1:16">
      <c r="A4" s="10" t="s">
        <v>570</v>
      </c>
      <c r="B4" s="8" t="s">
        <v>14</v>
      </c>
      <c r="C4" s="8" t="s">
        <v>46</v>
      </c>
      <c r="D4" s="8"/>
      <c r="E4" s="8"/>
      <c r="F4" s="52">
        <f>Cardiovascular!F50*60</f>
        <v>1064</v>
      </c>
      <c r="G4" s="18" t="s">
        <v>270</v>
      </c>
      <c r="H4" s="8">
        <v>91</v>
      </c>
      <c r="I4" s="8" t="s">
        <v>569</v>
      </c>
      <c r="J4" s="8"/>
      <c r="K4" s="8"/>
      <c r="L4" s="4"/>
      <c r="M4" s="5" t="s">
        <v>566</v>
      </c>
      <c r="N4" s="5" t="s">
        <v>71</v>
      </c>
      <c r="O4" s="14" t="s">
        <v>52</v>
      </c>
      <c r="P4" s="14"/>
    </row>
    <row r="5" spans="1:16">
      <c r="A5" s="10" t="s">
        <v>571</v>
      </c>
      <c r="B5" s="8" t="s">
        <v>14</v>
      </c>
      <c r="C5" s="8" t="s">
        <v>46</v>
      </c>
      <c r="D5" s="8"/>
      <c r="E5" s="8"/>
      <c r="F5" s="8">
        <f>F4*0.6</f>
        <v>638.4</v>
      </c>
      <c r="G5" s="18" t="s">
        <v>112</v>
      </c>
      <c r="H5" s="8">
        <v>91</v>
      </c>
      <c r="I5" s="8" t="s">
        <v>569</v>
      </c>
      <c r="J5" s="8" t="s">
        <v>572</v>
      </c>
      <c r="K5" s="8"/>
      <c r="L5" s="4"/>
      <c r="M5" s="5" t="s">
        <v>566</v>
      </c>
      <c r="N5" s="5" t="s">
        <v>71</v>
      </c>
      <c r="O5" s="14" t="s">
        <v>52</v>
      </c>
      <c r="P5" s="14"/>
    </row>
    <row r="6" spans="1:16" ht="24">
      <c r="A6" s="10" t="s">
        <v>573</v>
      </c>
      <c r="B6" s="8" t="s">
        <v>574</v>
      </c>
      <c r="C6" s="8" t="s">
        <v>46</v>
      </c>
      <c r="D6" s="8"/>
      <c r="E6" s="8"/>
      <c r="F6" s="52">
        <v>0.08</v>
      </c>
      <c r="G6" s="8" t="s">
        <v>15</v>
      </c>
      <c r="H6" s="8">
        <v>320</v>
      </c>
      <c r="I6" s="8" t="s">
        <v>569</v>
      </c>
      <c r="J6" s="8"/>
      <c r="K6" s="8" t="s">
        <v>575</v>
      </c>
      <c r="L6" s="4"/>
      <c r="M6" s="5" t="s">
        <v>566</v>
      </c>
      <c r="N6" s="5" t="s">
        <v>140</v>
      </c>
      <c r="O6" s="14" t="s">
        <v>52</v>
      </c>
      <c r="P6" s="14">
        <v>3</v>
      </c>
    </row>
    <row r="7" spans="1:16" ht="24">
      <c r="A7" s="48" t="s">
        <v>576</v>
      </c>
      <c r="B7" s="26" t="s">
        <v>309</v>
      </c>
      <c r="C7" s="8" t="s">
        <v>46</v>
      </c>
      <c r="D7" s="8"/>
      <c r="E7" s="8"/>
      <c r="F7" s="26">
        <v>22</v>
      </c>
      <c r="G7" s="26" t="s">
        <v>577</v>
      </c>
      <c r="H7" s="26" t="s">
        <v>578</v>
      </c>
      <c r="I7" s="8"/>
      <c r="J7" s="4"/>
      <c r="K7" s="26" t="s">
        <v>579</v>
      </c>
      <c r="L7" s="5"/>
      <c r="M7" s="5" t="s">
        <v>566</v>
      </c>
      <c r="N7" s="5"/>
      <c r="O7" s="14" t="s">
        <v>52</v>
      </c>
      <c r="P7" s="14"/>
    </row>
    <row r="8" spans="1:16" ht="24">
      <c r="A8" s="10" t="s">
        <v>580</v>
      </c>
      <c r="B8" s="26" t="s">
        <v>581</v>
      </c>
      <c r="C8" s="8" t="s">
        <v>46</v>
      </c>
      <c r="D8" s="8"/>
      <c r="E8" s="8"/>
      <c r="F8" s="26" t="s">
        <v>582</v>
      </c>
      <c r="G8" s="26" t="s">
        <v>112</v>
      </c>
      <c r="H8" s="26" t="s">
        <v>583</v>
      </c>
      <c r="I8" s="8" t="s">
        <v>49</v>
      </c>
      <c r="J8" s="26"/>
      <c r="K8" s="8"/>
      <c r="L8" s="5"/>
      <c r="M8" s="5" t="s">
        <v>566</v>
      </c>
      <c r="N8" s="5" t="s">
        <v>57</v>
      </c>
      <c r="O8" s="14" t="s">
        <v>52</v>
      </c>
      <c r="P8" s="14">
        <v>1</v>
      </c>
    </row>
    <row r="9" spans="1:16">
      <c r="A9" s="10" t="s">
        <v>584</v>
      </c>
      <c r="B9" s="26" t="s">
        <v>585</v>
      </c>
      <c r="C9" s="8" t="s">
        <v>46</v>
      </c>
      <c r="D9" s="8"/>
      <c r="E9" s="8"/>
      <c r="F9" s="26" t="s">
        <v>582</v>
      </c>
      <c r="G9" s="26" t="s">
        <v>112</v>
      </c>
      <c r="H9" s="26" t="s">
        <v>586</v>
      </c>
      <c r="I9" s="8" t="s">
        <v>49</v>
      </c>
      <c r="J9" s="26"/>
      <c r="K9" s="8"/>
      <c r="L9" s="5"/>
      <c r="M9" s="5" t="s">
        <v>566</v>
      </c>
      <c r="N9" s="5" t="s">
        <v>57</v>
      </c>
      <c r="O9" s="14" t="s">
        <v>52</v>
      </c>
      <c r="P9" s="14">
        <v>1</v>
      </c>
    </row>
    <row r="10" spans="1:16">
      <c r="A10" s="10" t="s">
        <v>587</v>
      </c>
      <c r="B10" s="8" t="s">
        <v>568</v>
      </c>
      <c r="C10" s="8" t="s">
        <v>46</v>
      </c>
      <c r="D10" s="8"/>
      <c r="E10" s="8"/>
      <c r="F10" s="8">
        <v>1.5</v>
      </c>
      <c r="G10" s="8" t="s">
        <v>15</v>
      </c>
      <c r="H10" s="8">
        <v>315</v>
      </c>
      <c r="I10" s="8" t="s">
        <v>569</v>
      </c>
      <c r="J10" s="8"/>
      <c r="K10" s="8"/>
      <c r="L10" s="4"/>
      <c r="M10" s="5" t="s">
        <v>566</v>
      </c>
      <c r="N10" s="5" t="s">
        <v>51</v>
      </c>
      <c r="O10" s="14" t="s">
        <v>52</v>
      </c>
      <c r="P10" s="14">
        <v>2</v>
      </c>
    </row>
    <row r="11" spans="1:16" ht="24">
      <c r="A11" s="10" t="s">
        <v>588</v>
      </c>
      <c r="B11" s="26"/>
      <c r="C11" s="8" t="s">
        <v>46</v>
      </c>
      <c r="D11" s="8"/>
      <c r="E11" s="8"/>
      <c r="F11" s="26" t="s">
        <v>589</v>
      </c>
      <c r="G11" s="26" t="s">
        <v>590</v>
      </c>
      <c r="H11" s="26" t="s">
        <v>591</v>
      </c>
      <c r="I11" s="8" t="s">
        <v>49</v>
      </c>
      <c r="J11" s="26"/>
      <c r="K11" s="8"/>
      <c r="L11" s="5"/>
      <c r="M11" s="5" t="s">
        <v>566</v>
      </c>
      <c r="N11" s="5" t="s">
        <v>140</v>
      </c>
      <c r="O11" s="14" t="s">
        <v>52</v>
      </c>
      <c r="P11" s="14">
        <v>3</v>
      </c>
    </row>
    <row r="12" spans="1:16">
      <c r="A12" s="48" t="s">
        <v>592</v>
      </c>
      <c r="B12" s="8"/>
      <c r="C12" s="8"/>
      <c r="D12" s="8"/>
      <c r="E12" s="8"/>
      <c r="F12" s="8"/>
      <c r="G12" s="8"/>
      <c r="H12" s="8"/>
      <c r="I12" s="8"/>
      <c r="J12" s="8"/>
      <c r="K12" s="8"/>
      <c r="L12" s="4"/>
      <c r="M12" s="5" t="s">
        <v>566</v>
      </c>
      <c r="N12" s="5"/>
      <c r="O12" s="14" t="s">
        <v>52</v>
      </c>
      <c r="P12" s="14">
        <v>1</v>
      </c>
    </row>
    <row r="13" spans="1:16">
      <c r="A13" s="10" t="s">
        <v>593</v>
      </c>
      <c r="B13" s="26" t="s">
        <v>146</v>
      </c>
      <c r="C13" s="70" t="s">
        <v>46</v>
      </c>
      <c r="D13" s="8"/>
      <c r="E13" s="8"/>
      <c r="F13" s="82" t="s">
        <v>594</v>
      </c>
      <c r="G13" s="82" t="s">
        <v>112</v>
      </c>
      <c r="H13" s="82" t="s">
        <v>591</v>
      </c>
      <c r="I13" s="8" t="s">
        <v>49</v>
      </c>
      <c r="J13" s="82"/>
      <c r="K13" s="70"/>
      <c r="L13" s="82"/>
      <c r="M13" s="72" t="s">
        <v>566</v>
      </c>
      <c r="N13" s="5" t="s">
        <v>71</v>
      </c>
      <c r="O13" s="14" t="s">
        <v>52</v>
      </c>
      <c r="P13" s="14">
        <v>1</v>
      </c>
    </row>
    <row r="14" spans="1:16">
      <c r="A14" s="10" t="s">
        <v>595</v>
      </c>
      <c r="B14" s="26" t="s">
        <v>574</v>
      </c>
      <c r="C14" s="18" t="s">
        <v>46</v>
      </c>
      <c r="D14" s="8"/>
      <c r="E14" s="8"/>
      <c r="F14" s="18">
        <v>4.1700000000000001E-2</v>
      </c>
      <c r="G14" s="18" t="s">
        <v>15</v>
      </c>
      <c r="H14" s="18">
        <v>321</v>
      </c>
      <c r="I14" s="8" t="s">
        <v>569</v>
      </c>
      <c r="J14" s="18" t="s">
        <v>596</v>
      </c>
      <c r="K14" s="18"/>
      <c r="L14" s="62"/>
      <c r="M14" s="5" t="s">
        <v>566</v>
      </c>
      <c r="N14" s="5" t="s">
        <v>140</v>
      </c>
      <c r="O14" s="14" t="s">
        <v>52</v>
      </c>
      <c r="P14" s="14">
        <v>4</v>
      </c>
    </row>
    <row r="15" spans="1:16">
      <c r="A15" s="10" t="s">
        <v>597</v>
      </c>
      <c r="B15" s="5" t="s">
        <v>200</v>
      </c>
      <c r="C15" s="11" t="s">
        <v>46</v>
      </c>
      <c r="D15" s="8"/>
      <c r="E15" s="8"/>
      <c r="F15" s="76">
        <v>18</v>
      </c>
      <c r="G15" s="11" t="s">
        <v>15</v>
      </c>
      <c r="H15" s="76">
        <v>318</v>
      </c>
      <c r="I15" s="8" t="s">
        <v>569</v>
      </c>
      <c r="J15" s="11"/>
      <c r="K15" s="11"/>
      <c r="L15" s="83"/>
      <c r="M15" s="76" t="s">
        <v>566</v>
      </c>
      <c r="N15" s="5" t="s">
        <v>71</v>
      </c>
      <c r="O15" s="14" t="s">
        <v>52</v>
      </c>
      <c r="P15" s="14"/>
    </row>
    <row r="16" spans="1:16">
      <c r="A16" s="10" t="s">
        <v>598</v>
      </c>
      <c r="B16" s="72" t="s">
        <v>200</v>
      </c>
      <c r="C16" s="70" t="s">
        <v>46</v>
      </c>
      <c r="D16" s="8"/>
      <c r="E16" s="8"/>
      <c r="F16" s="72">
        <v>0</v>
      </c>
      <c r="G16" s="70" t="s">
        <v>15</v>
      </c>
      <c r="H16" s="72">
        <v>318</v>
      </c>
      <c r="I16" s="8" t="s">
        <v>569</v>
      </c>
      <c r="J16" s="70"/>
      <c r="K16" s="70"/>
      <c r="L16" s="84"/>
      <c r="M16" s="72" t="s">
        <v>566</v>
      </c>
      <c r="N16" s="5" t="s">
        <v>71</v>
      </c>
      <c r="O16" s="14" t="s">
        <v>52</v>
      </c>
      <c r="P16" s="14">
        <v>1</v>
      </c>
    </row>
    <row r="17" spans="1:16">
      <c r="A17" s="85" t="s">
        <v>599</v>
      </c>
      <c r="B17" s="72" t="s">
        <v>574</v>
      </c>
      <c r="C17" s="18" t="s">
        <v>46</v>
      </c>
      <c r="D17" s="8"/>
      <c r="E17" s="8"/>
      <c r="F17" s="18">
        <v>7.6300000000000007E-2</v>
      </c>
      <c r="G17" s="18" t="s">
        <v>15</v>
      </c>
      <c r="H17" s="18">
        <v>321</v>
      </c>
      <c r="I17" s="8" t="s">
        <v>569</v>
      </c>
      <c r="J17" s="18" t="s">
        <v>600</v>
      </c>
      <c r="K17" s="18"/>
      <c r="L17" s="62"/>
      <c r="M17" s="5" t="s">
        <v>566</v>
      </c>
      <c r="N17" s="5" t="s">
        <v>140</v>
      </c>
      <c r="O17" s="14" t="s">
        <v>52</v>
      </c>
      <c r="P17" s="14">
        <v>4</v>
      </c>
    </row>
    <row r="18" spans="1:16">
      <c r="A18" s="85" t="s">
        <v>601</v>
      </c>
      <c r="B18" s="18"/>
      <c r="C18" s="86" t="s">
        <v>46</v>
      </c>
      <c r="D18" s="8"/>
      <c r="E18" s="8"/>
      <c r="F18" s="86">
        <v>0.2</v>
      </c>
      <c r="G18" s="86" t="s">
        <v>15</v>
      </c>
      <c r="H18" s="86">
        <v>317</v>
      </c>
      <c r="I18" s="8" t="s">
        <v>49</v>
      </c>
      <c r="J18" s="86" t="s">
        <v>565</v>
      </c>
      <c r="K18" s="11"/>
      <c r="L18" s="83"/>
      <c r="M18" s="76" t="s">
        <v>566</v>
      </c>
      <c r="N18" s="5" t="s">
        <v>51</v>
      </c>
      <c r="O18" s="14" t="s">
        <v>52</v>
      </c>
      <c r="P18" s="14">
        <v>3</v>
      </c>
    </row>
    <row r="19" spans="1:16">
      <c r="A19" s="10" t="s">
        <v>602</v>
      </c>
      <c r="B19" s="76" t="s">
        <v>200</v>
      </c>
      <c r="C19" s="11" t="s">
        <v>46</v>
      </c>
      <c r="D19" s="8"/>
      <c r="E19" s="8"/>
      <c r="F19" s="76">
        <v>60</v>
      </c>
      <c r="G19" s="11" t="s">
        <v>15</v>
      </c>
      <c r="H19" s="76">
        <v>318</v>
      </c>
      <c r="I19" s="8" t="s">
        <v>569</v>
      </c>
      <c r="J19" s="11"/>
      <c r="K19" s="11"/>
      <c r="L19" s="83"/>
      <c r="M19" s="5" t="s">
        <v>566</v>
      </c>
      <c r="N19" s="5" t="s">
        <v>71</v>
      </c>
      <c r="O19" s="14" t="s">
        <v>52</v>
      </c>
      <c r="P19" s="14"/>
    </row>
    <row r="20" spans="1:16">
      <c r="A20" s="10" t="s">
        <v>603</v>
      </c>
      <c r="B20" s="5" t="s">
        <v>200</v>
      </c>
      <c r="C20" s="8" t="s">
        <v>46</v>
      </c>
      <c r="D20" s="8"/>
      <c r="E20" s="8"/>
      <c r="F20" s="5">
        <v>-32</v>
      </c>
      <c r="G20" s="8" t="s">
        <v>15</v>
      </c>
      <c r="H20" s="5">
        <v>318</v>
      </c>
      <c r="I20" s="8" t="s">
        <v>569</v>
      </c>
      <c r="J20" s="8"/>
      <c r="K20" s="8"/>
      <c r="L20" s="4"/>
      <c r="M20" s="5" t="s">
        <v>566</v>
      </c>
      <c r="N20" s="5" t="s">
        <v>71</v>
      </c>
      <c r="O20" s="14" t="s">
        <v>52</v>
      </c>
      <c r="P20" s="14"/>
    </row>
    <row r="21" spans="1:16">
      <c r="A21" s="10" t="s">
        <v>604</v>
      </c>
      <c r="B21" s="8" t="s">
        <v>605</v>
      </c>
      <c r="C21" s="8" t="s">
        <v>46</v>
      </c>
      <c r="D21" s="8"/>
      <c r="E21" s="8"/>
      <c r="F21" s="8">
        <v>12.5</v>
      </c>
      <c r="G21" s="8" t="s">
        <v>15</v>
      </c>
      <c r="H21" s="8">
        <v>318</v>
      </c>
      <c r="I21" s="8" t="s">
        <v>49</v>
      </c>
      <c r="J21" s="8" t="s">
        <v>606</v>
      </c>
      <c r="K21" s="8"/>
      <c r="L21" s="4"/>
      <c r="M21" s="5" t="s">
        <v>566</v>
      </c>
      <c r="N21" s="5" t="s">
        <v>71</v>
      </c>
      <c r="O21" s="14" t="s">
        <v>52</v>
      </c>
      <c r="P21" s="14">
        <v>1</v>
      </c>
    </row>
    <row r="22" spans="1:16">
      <c r="A22" s="10" t="s">
        <v>607</v>
      </c>
      <c r="B22" s="8" t="s">
        <v>568</v>
      </c>
      <c r="C22" s="8" t="s">
        <v>46</v>
      </c>
      <c r="D22" s="8"/>
      <c r="E22" s="8"/>
      <c r="F22" s="8">
        <v>90</v>
      </c>
      <c r="G22" s="8" t="s">
        <v>15</v>
      </c>
      <c r="H22" s="8">
        <v>315</v>
      </c>
      <c r="I22" s="8" t="s">
        <v>569</v>
      </c>
      <c r="J22" s="8" t="s">
        <v>608</v>
      </c>
      <c r="K22" s="8"/>
      <c r="L22" s="13"/>
      <c r="M22" s="5" t="s">
        <v>566</v>
      </c>
      <c r="N22" s="5" t="s">
        <v>71</v>
      </c>
      <c r="O22" s="14" t="s">
        <v>52</v>
      </c>
      <c r="P22" s="14"/>
    </row>
    <row r="23" spans="1:16" ht="36">
      <c r="A23" s="10" t="s">
        <v>609</v>
      </c>
      <c r="B23" s="8" t="s">
        <v>610</v>
      </c>
      <c r="C23" s="8" t="s">
        <v>46</v>
      </c>
      <c r="D23" s="8"/>
      <c r="E23" s="8"/>
      <c r="F23" s="8" t="s">
        <v>611</v>
      </c>
      <c r="G23" s="8" t="s">
        <v>612</v>
      </c>
      <c r="H23" s="8">
        <v>44</v>
      </c>
      <c r="I23" s="8" t="s">
        <v>569</v>
      </c>
      <c r="J23" s="8" t="s">
        <v>613</v>
      </c>
      <c r="K23" s="8"/>
      <c r="L23" s="13"/>
      <c r="M23" s="5" t="s">
        <v>566</v>
      </c>
      <c r="N23" s="5" t="s">
        <v>57</v>
      </c>
      <c r="O23" s="14" t="s">
        <v>52</v>
      </c>
      <c r="P23" s="14"/>
    </row>
    <row r="24" spans="1:16" ht="24">
      <c r="A24" s="48" t="s">
        <v>614</v>
      </c>
      <c r="B24" s="8" t="s">
        <v>615</v>
      </c>
      <c r="C24" s="8" t="s">
        <v>46</v>
      </c>
      <c r="D24" s="8"/>
      <c r="E24" s="8"/>
      <c r="F24" s="8">
        <v>3.6764700000000001</v>
      </c>
      <c r="G24" s="8" t="s">
        <v>616</v>
      </c>
      <c r="H24" s="8"/>
      <c r="I24" s="8"/>
      <c r="J24" s="8"/>
      <c r="K24" s="8" t="s">
        <v>617</v>
      </c>
      <c r="L24" s="13"/>
      <c r="M24" s="5" t="s">
        <v>566</v>
      </c>
      <c r="N24" s="5"/>
      <c r="O24" s="14" t="s">
        <v>52</v>
      </c>
      <c r="P24" s="14">
        <v>1</v>
      </c>
    </row>
    <row r="25" spans="1:16">
      <c r="A25" s="10" t="s">
        <v>618</v>
      </c>
      <c r="B25" s="8" t="s">
        <v>200</v>
      </c>
      <c r="C25" s="8" t="s">
        <v>46</v>
      </c>
      <c r="D25" s="8"/>
      <c r="E25" s="8"/>
      <c r="F25" s="8">
        <v>10</v>
      </c>
      <c r="G25" s="8" t="s">
        <v>15</v>
      </c>
      <c r="H25" s="8">
        <v>318</v>
      </c>
      <c r="I25" s="8" t="s">
        <v>569</v>
      </c>
      <c r="J25" s="8"/>
      <c r="K25" s="8"/>
      <c r="L25" s="4"/>
      <c r="M25" s="5" t="s">
        <v>566</v>
      </c>
      <c r="N25" s="5" t="s">
        <v>71</v>
      </c>
      <c r="O25" s="14" t="s">
        <v>52</v>
      </c>
      <c r="P25" s="14"/>
    </row>
    <row r="26" spans="1:16">
      <c r="A26" s="10" t="s">
        <v>619</v>
      </c>
      <c r="B26" s="8" t="s">
        <v>200</v>
      </c>
      <c r="C26" s="8" t="s">
        <v>46</v>
      </c>
      <c r="D26" s="8"/>
      <c r="E26" s="8"/>
      <c r="F26" s="8">
        <v>10</v>
      </c>
      <c r="G26" s="8" t="s">
        <v>15</v>
      </c>
      <c r="H26" s="8" t="s">
        <v>620</v>
      </c>
      <c r="I26" s="8" t="s">
        <v>569</v>
      </c>
      <c r="J26" s="8"/>
      <c r="K26" s="8"/>
      <c r="L26" s="4"/>
      <c r="M26" s="5" t="s">
        <v>566</v>
      </c>
      <c r="N26" s="5" t="s">
        <v>71</v>
      </c>
      <c r="O26" s="14" t="s">
        <v>52</v>
      </c>
      <c r="P26" s="14"/>
    </row>
    <row r="27" spans="1:16">
      <c r="A27" s="10" t="s">
        <v>621</v>
      </c>
      <c r="B27" s="5" t="s">
        <v>200</v>
      </c>
      <c r="C27" s="8" t="s">
        <v>46</v>
      </c>
      <c r="D27" s="8"/>
      <c r="E27" s="8"/>
      <c r="F27" s="5">
        <v>13</v>
      </c>
      <c r="G27" s="8" t="s">
        <v>15</v>
      </c>
      <c r="H27" s="5">
        <v>340</v>
      </c>
      <c r="I27" s="8" t="s">
        <v>569</v>
      </c>
      <c r="J27" s="8"/>
      <c r="K27" s="8"/>
      <c r="L27" s="4"/>
      <c r="M27" s="5" t="s">
        <v>566</v>
      </c>
      <c r="N27" s="5" t="s">
        <v>71</v>
      </c>
      <c r="O27" s="14" t="s">
        <v>52</v>
      </c>
      <c r="P27" s="14"/>
    </row>
    <row r="28" spans="1:16" ht="12" customHeight="1">
      <c r="A28" s="10" t="s">
        <v>622</v>
      </c>
      <c r="B28" s="5" t="s">
        <v>200</v>
      </c>
      <c r="C28" s="8" t="s">
        <v>46</v>
      </c>
      <c r="D28" s="8"/>
      <c r="E28" s="8"/>
      <c r="F28" s="5">
        <v>-32</v>
      </c>
      <c r="G28" s="8" t="s">
        <v>15</v>
      </c>
      <c r="H28" s="5">
        <v>340</v>
      </c>
      <c r="I28" s="8" t="s">
        <v>569</v>
      </c>
      <c r="J28" s="8"/>
      <c r="K28" s="8"/>
      <c r="L28" s="4"/>
      <c r="M28" s="5" t="s">
        <v>566</v>
      </c>
      <c r="N28" s="5" t="s">
        <v>71</v>
      </c>
      <c r="O28" s="14" t="s">
        <v>52</v>
      </c>
      <c r="P28" s="14"/>
    </row>
    <row r="29" spans="1:16">
      <c r="A29" s="10" t="s">
        <v>623</v>
      </c>
      <c r="B29" s="8" t="s">
        <v>605</v>
      </c>
      <c r="C29" s="8" t="s">
        <v>46</v>
      </c>
      <c r="D29" s="8"/>
      <c r="E29" s="8"/>
      <c r="F29" s="8">
        <v>6.2</v>
      </c>
      <c r="G29" s="8" t="s">
        <v>15</v>
      </c>
      <c r="H29" s="8" t="s">
        <v>620</v>
      </c>
      <c r="I29" s="8" t="s">
        <v>569</v>
      </c>
      <c r="J29" s="8" t="s">
        <v>606</v>
      </c>
      <c r="K29" s="8"/>
      <c r="L29" s="4"/>
      <c r="M29" s="5" t="s">
        <v>566</v>
      </c>
      <c r="N29" s="5" t="s">
        <v>71</v>
      </c>
      <c r="O29" s="14" t="s">
        <v>52</v>
      </c>
      <c r="P29" s="14">
        <v>1</v>
      </c>
    </row>
    <row r="30" spans="1:16">
      <c r="A30" s="10" t="s">
        <v>624</v>
      </c>
      <c r="B30" s="8" t="s">
        <v>14</v>
      </c>
      <c r="C30" s="8" t="s">
        <v>46</v>
      </c>
      <c r="D30" s="8"/>
      <c r="E30" s="8"/>
      <c r="F30" s="8">
        <v>62</v>
      </c>
      <c r="G30" s="8" t="s">
        <v>15</v>
      </c>
      <c r="H30" s="8">
        <v>339</v>
      </c>
      <c r="I30" s="8" t="s">
        <v>569</v>
      </c>
      <c r="J30" s="8" t="s">
        <v>625</v>
      </c>
      <c r="K30" s="8"/>
      <c r="L30" s="4"/>
      <c r="M30" s="5" t="s">
        <v>566</v>
      </c>
      <c r="N30" s="5" t="s">
        <v>71</v>
      </c>
      <c r="O30" s="14" t="s">
        <v>52</v>
      </c>
      <c r="P30" s="14"/>
    </row>
    <row r="31" spans="1:16">
      <c r="A31" s="48" t="s">
        <v>626</v>
      </c>
      <c r="B31" s="8" t="s">
        <v>627</v>
      </c>
      <c r="C31" s="8" t="s">
        <v>46</v>
      </c>
      <c r="D31" s="8"/>
      <c r="E31" s="8"/>
      <c r="F31" s="8">
        <v>2.5</v>
      </c>
      <c r="G31" s="8" t="s">
        <v>270</v>
      </c>
      <c r="H31" s="8"/>
      <c r="I31" s="8"/>
      <c r="J31" s="8"/>
      <c r="K31" s="8" t="s">
        <v>628</v>
      </c>
      <c r="L31" s="4"/>
      <c r="M31" s="5" t="s">
        <v>566</v>
      </c>
      <c r="N31" s="5"/>
      <c r="O31" s="14" t="s">
        <v>52</v>
      </c>
      <c r="P31" s="14">
        <v>1</v>
      </c>
    </row>
    <row r="32" spans="1:16" ht="24">
      <c r="A32" s="48" t="s">
        <v>629</v>
      </c>
      <c r="B32" s="8" t="s">
        <v>615</v>
      </c>
      <c r="C32" s="8" t="s">
        <v>46</v>
      </c>
      <c r="D32" s="8"/>
      <c r="E32" s="8"/>
      <c r="F32" s="8">
        <v>2.9174699999999998</v>
      </c>
      <c r="G32" s="8" t="s">
        <v>616</v>
      </c>
      <c r="H32" s="8"/>
      <c r="I32" s="8"/>
      <c r="J32" s="8"/>
      <c r="K32" s="8" t="s">
        <v>617</v>
      </c>
      <c r="L32" s="4"/>
      <c r="M32" s="5" t="s">
        <v>566</v>
      </c>
      <c r="N32" s="5"/>
      <c r="O32" s="14" t="s">
        <v>52</v>
      </c>
      <c r="P32" s="14">
        <v>3</v>
      </c>
    </row>
    <row r="33" spans="1:16">
      <c r="A33" s="48" t="s">
        <v>630</v>
      </c>
      <c r="B33" s="5" t="s">
        <v>200</v>
      </c>
      <c r="C33" s="8" t="s">
        <v>46</v>
      </c>
      <c r="D33" s="8"/>
      <c r="E33" s="8"/>
      <c r="F33" s="5">
        <v>6</v>
      </c>
      <c r="G33" s="8" t="s">
        <v>15</v>
      </c>
      <c r="H33" s="5">
        <v>340</v>
      </c>
      <c r="I33" s="8"/>
      <c r="J33" s="8"/>
      <c r="K33" s="8"/>
      <c r="L33" s="4"/>
      <c r="M33" s="5" t="s">
        <v>566</v>
      </c>
      <c r="N33" s="5"/>
      <c r="O33" s="14" t="s">
        <v>52</v>
      </c>
      <c r="P33" s="14"/>
    </row>
    <row r="34" spans="1:16">
      <c r="A34" s="10" t="s">
        <v>631</v>
      </c>
      <c r="B34" s="5" t="s">
        <v>200</v>
      </c>
      <c r="C34" s="8" t="s">
        <v>46</v>
      </c>
      <c r="D34" s="8"/>
      <c r="E34" s="8"/>
      <c r="F34" s="5">
        <v>-15</v>
      </c>
      <c r="G34" s="8" t="s">
        <v>15</v>
      </c>
      <c r="H34" s="5">
        <v>340</v>
      </c>
      <c r="I34" s="8" t="s">
        <v>49</v>
      </c>
      <c r="J34" s="8"/>
      <c r="K34" s="8"/>
      <c r="L34" s="4"/>
      <c r="M34" s="5" t="s">
        <v>566</v>
      </c>
      <c r="N34" s="5" t="s">
        <v>71</v>
      </c>
      <c r="O34" s="14" t="s">
        <v>52</v>
      </c>
      <c r="P34" s="14"/>
    </row>
    <row r="35" spans="1:16">
      <c r="A35" s="10" t="s">
        <v>632</v>
      </c>
      <c r="B35" s="5" t="s">
        <v>574</v>
      </c>
      <c r="C35" s="18" t="s">
        <v>46</v>
      </c>
      <c r="D35" s="8"/>
      <c r="E35" s="8"/>
      <c r="F35" s="18">
        <v>4.1700000000000001E-2</v>
      </c>
      <c r="G35" s="18" t="s">
        <v>15</v>
      </c>
      <c r="H35" s="18">
        <v>321</v>
      </c>
      <c r="I35" s="8" t="s">
        <v>569</v>
      </c>
      <c r="J35" s="18" t="s">
        <v>596</v>
      </c>
      <c r="K35" s="18"/>
      <c r="L35" s="62"/>
      <c r="M35" s="5" t="s">
        <v>566</v>
      </c>
      <c r="N35" s="5" t="s">
        <v>140</v>
      </c>
      <c r="O35" s="14" t="s">
        <v>52</v>
      </c>
      <c r="P35" s="14">
        <v>4</v>
      </c>
    </row>
    <row r="36" spans="1:16">
      <c r="A36" s="10" t="s">
        <v>633</v>
      </c>
      <c r="B36" s="5" t="s">
        <v>200</v>
      </c>
      <c r="C36" s="8" t="s">
        <v>46</v>
      </c>
      <c r="D36" s="8"/>
      <c r="E36" s="8"/>
      <c r="F36" s="5">
        <v>18</v>
      </c>
      <c r="G36" s="8" t="s">
        <v>15</v>
      </c>
      <c r="H36" s="5">
        <v>318</v>
      </c>
      <c r="I36" s="8" t="s">
        <v>569</v>
      </c>
      <c r="J36" s="8"/>
      <c r="K36" s="8"/>
      <c r="L36" s="4"/>
      <c r="M36" s="5" t="s">
        <v>566</v>
      </c>
      <c r="N36" s="5" t="s">
        <v>71</v>
      </c>
      <c r="O36" s="14" t="s">
        <v>52</v>
      </c>
      <c r="P36" s="14"/>
    </row>
    <row r="37" spans="1:16">
      <c r="A37" s="10" t="s">
        <v>634</v>
      </c>
      <c r="B37" s="72" t="s">
        <v>200</v>
      </c>
      <c r="C37" s="70" t="s">
        <v>46</v>
      </c>
      <c r="D37" s="8"/>
      <c r="E37" s="8"/>
      <c r="F37" s="72">
        <v>0</v>
      </c>
      <c r="G37" s="70" t="s">
        <v>15</v>
      </c>
      <c r="H37" s="72">
        <v>318</v>
      </c>
      <c r="I37" s="8" t="s">
        <v>569</v>
      </c>
      <c r="J37" s="70"/>
      <c r="K37" s="8"/>
      <c r="L37" s="4"/>
      <c r="M37" s="5" t="s">
        <v>566</v>
      </c>
      <c r="N37" s="5" t="s">
        <v>71</v>
      </c>
      <c r="O37" s="14" t="s">
        <v>52</v>
      </c>
      <c r="P37" s="14">
        <v>1</v>
      </c>
    </row>
    <row r="38" spans="1:16">
      <c r="A38" s="85" t="s">
        <v>635</v>
      </c>
      <c r="B38" s="72" t="s">
        <v>574</v>
      </c>
      <c r="C38" s="18" t="s">
        <v>46</v>
      </c>
      <c r="D38" s="8"/>
      <c r="E38" s="8"/>
      <c r="F38" s="18">
        <v>7.6300000000000007E-2</v>
      </c>
      <c r="G38" s="18" t="s">
        <v>15</v>
      </c>
      <c r="H38" s="18">
        <v>321</v>
      </c>
      <c r="I38" s="8" t="s">
        <v>569</v>
      </c>
      <c r="J38" s="18" t="s">
        <v>600</v>
      </c>
      <c r="K38" s="18"/>
      <c r="L38" s="62"/>
      <c r="M38" s="5" t="s">
        <v>566</v>
      </c>
      <c r="N38" s="5" t="s">
        <v>140</v>
      </c>
      <c r="O38" s="14" t="s">
        <v>52</v>
      </c>
      <c r="P38" s="14">
        <v>4</v>
      </c>
    </row>
    <row r="39" spans="1:16">
      <c r="A39" s="85" t="s">
        <v>636</v>
      </c>
      <c r="B39" s="18"/>
      <c r="C39" s="18" t="s">
        <v>46</v>
      </c>
      <c r="D39" s="8"/>
      <c r="E39" s="8"/>
      <c r="F39" s="18">
        <v>0.2</v>
      </c>
      <c r="G39" s="18" t="s">
        <v>15</v>
      </c>
      <c r="H39" s="18">
        <v>317</v>
      </c>
      <c r="I39" s="8" t="s">
        <v>49</v>
      </c>
      <c r="J39" s="18" t="s">
        <v>565</v>
      </c>
      <c r="K39" s="87"/>
      <c r="L39" s="4"/>
      <c r="M39" s="5" t="s">
        <v>566</v>
      </c>
      <c r="N39" s="5" t="s">
        <v>51</v>
      </c>
      <c r="O39" s="14" t="s">
        <v>52</v>
      </c>
      <c r="P39" s="14">
        <v>3</v>
      </c>
    </row>
    <row r="40" spans="1:16">
      <c r="A40" s="10" t="s">
        <v>637</v>
      </c>
      <c r="B40" s="76" t="s">
        <v>200</v>
      </c>
      <c r="C40" s="11" t="s">
        <v>46</v>
      </c>
      <c r="D40" s="8"/>
      <c r="E40" s="8"/>
      <c r="F40" s="76">
        <v>60</v>
      </c>
      <c r="G40" s="11" t="s">
        <v>15</v>
      </c>
      <c r="H40" s="76">
        <v>318</v>
      </c>
      <c r="I40" s="8" t="s">
        <v>569</v>
      </c>
      <c r="J40" s="11"/>
      <c r="K40" s="8"/>
      <c r="L40" s="4"/>
      <c r="M40" s="5" t="s">
        <v>566</v>
      </c>
      <c r="N40" s="5" t="s">
        <v>71</v>
      </c>
      <c r="O40" s="14" t="s">
        <v>52</v>
      </c>
      <c r="P40" s="14"/>
    </row>
    <row r="41" spans="1:16">
      <c r="A41" s="10" t="s">
        <v>638</v>
      </c>
      <c r="B41" s="5" t="s">
        <v>200</v>
      </c>
      <c r="C41" s="8" t="s">
        <v>46</v>
      </c>
      <c r="D41" s="8"/>
      <c r="E41" s="8"/>
      <c r="F41" s="5">
        <v>-32</v>
      </c>
      <c r="G41" s="8" t="s">
        <v>15</v>
      </c>
      <c r="H41" s="5">
        <v>318</v>
      </c>
      <c r="I41" s="8" t="s">
        <v>569</v>
      </c>
      <c r="J41" s="8"/>
      <c r="K41" s="8"/>
      <c r="L41" s="4"/>
      <c r="M41" s="5" t="s">
        <v>566</v>
      </c>
      <c r="N41" s="5" t="s">
        <v>71</v>
      </c>
      <c r="O41" s="14" t="s">
        <v>52</v>
      </c>
      <c r="P41" s="14"/>
    </row>
    <row r="42" spans="1:16">
      <c r="A42" s="10" t="s">
        <v>639</v>
      </c>
      <c r="B42" s="8" t="s">
        <v>605</v>
      </c>
      <c r="C42" s="8" t="s">
        <v>46</v>
      </c>
      <c r="D42" s="8"/>
      <c r="E42" s="8"/>
      <c r="F42" s="8">
        <v>6.25</v>
      </c>
      <c r="G42" s="8" t="s">
        <v>15</v>
      </c>
      <c r="H42" s="8">
        <v>318</v>
      </c>
      <c r="I42" s="8" t="s">
        <v>49</v>
      </c>
      <c r="J42" s="8" t="s">
        <v>606</v>
      </c>
      <c r="K42" s="8"/>
      <c r="L42" s="4"/>
      <c r="M42" s="5" t="s">
        <v>566</v>
      </c>
      <c r="N42" s="5" t="s">
        <v>71</v>
      </c>
      <c r="O42" s="14" t="s">
        <v>52</v>
      </c>
      <c r="P42" s="14">
        <v>1</v>
      </c>
    </row>
    <row r="43" spans="1:16">
      <c r="A43" s="10" t="s">
        <v>640</v>
      </c>
      <c r="B43" s="8" t="s">
        <v>568</v>
      </c>
      <c r="C43" s="8" t="s">
        <v>46</v>
      </c>
      <c r="D43" s="8"/>
      <c r="E43" s="8"/>
      <c r="F43" s="8">
        <v>90</v>
      </c>
      <c r="G43" s="8" t="s">
        <v>15</v>
      </c>
      <c r="H43" s="8">
        <v>315</v>
      </c>
      <c r="I43" s="8" t="s">
        <v>569</v>
      </c>
      <c r="J43" s="8" t="s">
        <v>608</v>
      </c>
      <c r="K43" s="8"/>
      <c r="L43" s="13"/>
      <c r="M43" s="5" t="s">
        <v>566</v>
      </c>
      <c r="N43" s="5" t="s">
        <v>71</v>
      </c>
      <c r="O43" s="14" t="s">
        <v>52</v>
      </c>
      <c r="P43" s="14"/>
    </row>
    <row r="44" spans="1:16" ht="36">
      <c r="A44" s="10" t="s">
        <v>641</v>
      </c>
      <c r="B44" s="8" t="s">
        <v>610</v>
      </c>
      <c r="C44" s="8" t="s">
        <v>46</v>
      </c>
      <c r="D44" s="8"/>
      <c r="E44" s="8"/>
      <c r="F44" s="8" t="s">
        <v>611</v>
      </c>
      <c r="G44" s="8" t="s">
        <v>612</v>
      </c>
      <c r="H44" s="8">
        <v>44</v>
      </c>
      <c r="I44" s="8" t="s">
        <v>569</v>
      </c>
      <c r="J44" s="8" t="s">
        <v>613</v>
      </c>
      <c r="K44" s="8"/>
      <c r="L44" s="13"/>
      <c r="M44" s="5" t="s">
        <v>566</v>
      </c>
      <c r="N44" s="5" t="s">
        <v>57</v>
      </c>
      <c r="O44" s="14" t="s">
        <v>52</v>
      </c>
      <c r="P44" s="14"/>
    </row>
    <row r="45" spans="1:16" ht="24">
      <c r="A45" s="48" t="s">
        <v>642</v>
      </c>
      <c r="B45" s="8" t="s">
        <v>615</v>
      </c>
      <c r="C45" s="8" t="s">
        <v>46</v>
      </c>
      <c r="D45" s="8"/>
      <c r="E45" s="8"/>
      <c r="F45" s="8">
        <v>3.6764700000000001</v>
      </c>
      <c r="G45" s="8" t="s">
        <v>616</v>
      </c>
      <c r="H45" s="8"/>
      <c r="I45" s="8"/>
      <c r="J45" s="8"/>
      <c r="K45" s="8" t="s">
        <v>617</v>
      </c>
      <c r="L45" s="13"/>
      <c r="M45" s="5" t="s">
        <v>566</v>
      </c>
      <c r="N45" s="5"/>
      <c r="O45" s="14" t="s">
        <v>52</v>
      </c>
      <c r="P45" s="14">
        <v>1</v>
      </c>
    </row>
    <row r="46" spans="1:16">
      <c r="A46" s="10" t="s">
        <v>643</v>
      </c>
      <c r="B46" s="8" t="s">
        <v>200</v>
      </c>
      <c r="C46" s="8" t="s">
        <v>46</v>
      </c>
      <c r="D46" s="8"/>
      <c r="E46" s="8"/>
      <c r="F46" s="8">
        <v>10</v>
      </c>
      <c r="G46" s="8" t="s">
        <v>15</v>
      </c>
      <c r="H46" s="8">
        <v>318</v>
      </c>
      <c r="I46" s="8" t="s">
        <v>569</v>
      </c>
      <c r="J46" s="8"/>
      <c r="K46" s="8"/>
      <c r="L46" s="4"/>
      <c r="M46" s="5" t="s">
        <v>566</v>
      </c>
      <c r="N46" s="5" t="s">
        <v>71</v>
      </c>
      <c r="O46" s="14" t="s">
        <v>52</v>
      </c>
      <c r="P46" s="14"/>
    </row>
    <row r="47" spans="1:16">
      <c r="A47" s="10" t="s">
        <v>644</v>
      </c>
      <c r="B47" s="8" t="s">
        <v>200</v>
      </c>
      <c r="C47" s="8" t="s">
        <v>46</v>
      </c>
      <c r="D47" s="8"/>
      <c r="E47" s="8"/>
      <c r="F47" s="8">
        <v>10</v>
      </c>
      <c r="G47" s="8" t="s">
        <v>15</v>
      </c>
      <c r="H47" s="8" t="s">
        <v>620</v>
      </c>
      <c r="I47" s="8" t="s">
        <v>569</v>
      </c>
      <c r="J47" s="8"/>
      <c r="K47" s="8"/>
      <c r="L47" s="4"/>
      <c r="M47" s="5" t="s">
        <v>566</v>
      </c>
      <c r="N47" s="5" t="s">
        <v>71</v>
      </c>
      <c r="O47" s="14" t="s">
        <v>52</v>
      </c>
      <c r="P47" s="14"/>
    </row>
    <row r="48" spans="1:16">
      <c r="A48" s="10" t="s">
        <v>645</v>
      </c>
      <c r="B48" s="5" t="s">
        <v>200</v>
      </c>
      <c r="C48" s="8" t="s">
        <v>46</v>
      </c>
      <c r="D48" s="8"/>
      <c r="E48" s="8"/>
      <c r="F48" s="5">
        <v>13</v>
      </c>
      <c r="G48" s="8" t="s">
        <v>15</v>
      </c>
      <c r="H48" s="5">
        <v>340</v>
      </c>
      <c r="I48" s="8" t="s">
        <v>569</v>
      </c>
      <c r="J48" s="8"/>
      <c r="K48" s="8"/>
      <c r="L48" s="4"/>
      <c r="M48" s="5" t="s">
        <v>566</v>
      </c>
      <c r="N48" s="5" t="s">
        <v>71</v>
      </c>
      <c r="O48" s="14" t="s">
        <v>52</v>
      </c>
      <c r="P48" s="14"/>
    </row>
    <row r="49" spans="1:16" ht="12" customHeight="1">
      <c r="A49" s="10" t="s">
        <v>646</v>
      </c>
      <c r="B49" s="5" t="s">
        <v>200</v>
      </c>
      <c r="C49" s="8" t="s">
        <v>46</v>
      </c>
      <c r="D49" s="8"/>
      <c r="E49" s="8"/>
      <c r="F49" s="5">
        <v>-32</v>
      </c>
      <c r="G49" s="8" t="s">
        <v>15</v>
      </c>
      <c r="H49" s="5">
        <v>340</v>
      </c>
      <c r="I49" s="8" t="s">
        <v>569</v>
      </c>
      <c r="J49" s="8"/>
      <c r="K49" s="8"/>
      <c r="L49" s="4"/>
      <c r="M49" s="5" t="s">
        <v>566</v>
      </c>
      <c r="N49" s="5" t="s">
        <v>71</v>
      </c>
      <c r="O49" s="14" t="s">
        <v>52</v>
      </c>
      <c r="P49" s="14"/>
    </row>
    <row r="50" spans="1:16">
      <c r="A50" s="10" t="s">
        <v>647</v>
      </c>
      <c r="B50" s="8" t="s">
        <v>605</v>
      </c>
      <c r="C50" s="8" t="s">
        <v>46</v>
      </c>
      <c r="D50" s="8"/>
      <c r="E50" s="8"/>
      <c r="F50" s="8">
        <v>6.2</v>
      </c>
      <c r="G50" s="8" t="s">
        <v>15</v>
      </c>
      <c r="H50" s="8" t="s">
        <v>620</v>
      </c>
      <c r="I50" s="8" t="s">
        <v>569</v>
      </c>
      <c r="J50" s="8" t="s">
        <v>606</v>
      </c>
      <c r="K50" s="8"/>
      <c r="L50" s="4"/>
      <c r="M50" s="5" t="s">
        <v>566</v>
      </c>
      <c r="N50" s="5" t="s">
        <v>71</v>
      </c>
      <c r="O50" s="14" t="s">
        <v>52</v>
      </c>
      <c r="P50" s="14">
        <v>1</v>
      </c>
    </row>
    <row r="51" spans="1:16">
      <c r="A51" s="10" t="s">
        <v>648</v>
      </c>
      <c r="B51" s="8" t="s">
        <v>14</v>
      </c>
      <c r="C51" s="8" t="s">
        <v>46</v>
      </c>
      <c r="D51" s="8"/>
      <c r="E51" s="8"/>
      <c r="F51" s="8">
        <v>62</v>
      </c>
      <c r="G51" s="8" t="s">
        <v>15</v>
      </c>
      <c r="H51" s="8">
        <v>339</v>
      </c>
      <c r="I51" s="8" t="s">
        <v>569</v>
      </c>
      <c r="J51" s="8" t="s">
        <v>625</v>
      </c>
      <c r="K51" s="8"/>
      <c r="L51" s="4"/>
      <c r="M51" s="5" t="s">
        <v>566</v>
      </c>
      <c r="N51" s="5" t="s">
        <v>71</v>
      </c>
      <c r="O51" s="14" t="s">
        <v>52</v>
      </c>
      <c r="P51" s="14"/>
    </row>
    <row r="52" spans="1:16">
      <c r="A52" s="48" t="s">
        <v>649</v>
      </c>
      <c r="B52" s="8" t="s">
        <v>627</v>
      </c>
      <c r="C52" s="8" t="s">
        <v>46</v>
      </c>
      <c r="D52" s="8"/>
      <c r="E52" s="8"/>
      <c r="F52" s="8">
        <v>2.5</v>
      </c>
      <c r="G52" s="8" t="s">
        <v>270</v>
      </c>
      <c r="H52" s="8"/>
      <c r="I52" s="8"/>
      <c r="J52" s="8"/>
      <c r="K52" s="8"/>
      <c r="L52" s="4"/>
      <c r="M52" s="5" t="s">
        <v>566</v>
      </c>
      <c r="N52" s="5"/>
      <c r="O52" s="14" t="s">
        <v>52</v>
      </c>
      <c r="P52" s="14">
        <v>1</v>
      </c>
    </row>
    <row r="53" spans="1:16" ht="24">
      <c r="A53" s="48" t="s">
        <v>650</v>
      </c>
      <c r="B53" s="8" t="s">
        <v>615</v>
      </c>
      <c r="C53" s="8" t="s">
        <v>46</v>
      </c>
      <c r="D53" s="8"/>
      <c r="E53" s="8"/>
      <c r="F53" s="8">
        <v>2.9174699999999998</v>
      </c>
      <c r="G53" s="8" t="s">
        <v>616</v>
      </c>
      <c r="H53" s="8"/>
      <c r="I53" s="8"/>
      <c r="J53" s="8"/>
      <c r="K53" s="8" t="s">
        <v>617</v>
      </c>
      <c r="L53" s="4"/>
      <c r="M53" s="5" t="s">
        <v>566</v>
      </c>
      <c r="N53" s="5"/>
      <c r="O53" s="14" t="s">
        <v>52</v>
      </c>
      <c r="P53" s="14">
        <v>3</v>
      </c>
    </row>
    <row r="54" spans="1:16">
      <c r="A54" s="48" t="s">
        <v>651</v>
      </c>
      <c r="B54" s="5" t="s">
        <v>200</v>
      </c>
      <c r="C54" s="8" t="s">
        <v>46</v>
      </c>
      <c r="D54" s="8"/>
      <c r="E54" s="8"/>
      <c r="F54" s="5">
        <v>6</v>
      </c>
      <c r="G54" s="8" t="s">
        <v>15</v>
      </c>
      <c r="H54" s="5">
        <v>340</v>
      </c>
      <c r="I54" s="8"/>
      <c r="J54" s="8"/>
      <c r="K54" s="8"/>
      <c r="L54" s="4"/>
      <c r="M54" s="5" t="s">
        <v>566</v>
      </c>
      <c r="N54" s="5"/>
      <c r="O54" s="14" t="s">
        <v>52</v>
      </c>
      <c r="P54" s="14"/>
    </row>
    <row r="55" spans="1:16">
      <c r="A55" s="10" t="s">
        <v>652</v>
      </c>
      <c r="B55" s="5" t="s">
        <v>200</v>
      </c>
      <c r="C55" s="8" t="s">
        <v>46</v>
      </c>
      <c r="D55" s="8"/>
      <c r="E55" s="8"/>
      <c r="F55" s="5">
        <v>-15</v>
      </c>
      <c r="G55" s="8" t="s">
        <v>15</v>
      </c>
      <c r="H55" s="5">
        <v>340</v>
      </c>
      <c r="I55" s="8" t="s">
        <v>49</v>
      </c>
      <c r="J55" s="8"/>
      <c r="K55" s="8"/>
      <c r="L55" s="4"/>
      <c r="M55" s="5" t="s">
        <v>566</v>
      </c>
      <c r="N55" s="5" t="s">
        <v>71</v>
      </c>
      <c r="O55" s="14" t="s">
        <v>52</v>
      </c>
      <c r="P55" s="14"/>
    </row>
    <row r="56" spans="1:16" ht="24">
      <c r="A56" s="28" t="s">
        <v>353</v>
      </c>
      <c r="B56" s="9" t="s">
        <v>1</v>
      </c>
      <c r="C56" s="9" t="s">
        <v>31</v>
      </c>
      <c r="D56" s="9" t="s">
        <v>32</v>
      </c>
      <c r="E56" s="9" t="s">
        <v>33</v>
      </c>
      <c r="F56" s="9" t="s">
        <v>124</v>
      </c>
      <c r="G56" s="29" t="s">
        <v>125</v>
      </c>
      <c r="H56" s="29" t="s">
        <v>126</v>
      </c>
      <c r="I56" s="3" t="s">
        <v>36</v>
      </c>
      <c r="J56" s="3" t="s">
        <v>37</v>
      </c>
      <c r="K56" s="3" t="s">
        <v>38</v>
      </c>
      <c r="L56" s="29" t="s">
        <v>39</v>
      </c>
      <c r="M56" s="9" t="s">
        <v>40</v>
      </c>
      <c r="N56" s="9" t="s">
        <v>41</v>
      </c>
      <c r="O56" s="9" t="s">
        <v>42</v>
      </c>
      <c r="P56" s="9" t="s">
        <v>43</v>
      </c>
    </row>
    <row r="57" spans="1:16">
      <c r="A57" s="10" t="s">
        <v>653</v>
      </c>
      <c r="B57" s="5" t="s">
        <v>17</v>
      </c>
      <c r="C57" s="8" t="s">
        <v>46</v>
      </c>
      <c r="D57" s="8"/>
      <c r="E57" s="8"/>
      <c r="F57" s="7">
        <f>Cardiovascular!F60</f>
        <v>55.096546665792182</v>
      </c>
      <c r="G57" s="17" t="s">
        <v>270</v>
      </c>
      <c r="H57" s="5"/>
      <c r="I57" s="5" t="s">
        <v>49</v>
      </c>
      <c r="J57" s="8"/>
      <c r="K57" s="4" t="s">
        <v>654</v>
      </c>
      <c r="L57" s="4"/>
      <c r="M57" s="5" t="s">
        <v>655</v>
      </c>
      <c r="N57" s="5" t="s">
        <v>71</v>
      </c>
      <c r="O57" s="14" t="s">
        <v>357</v>
      </c>
      <c r="P57" s="14">
        <v>1</v>
      </c>
    </row>
    <row r="58" spans="1:16" ht="24">
      <c r="A58" s="10" t="s">
        <v>656</v>
      </c>
      <c r="B58" s="5" t="s">
        <v>17</v>
      </c>
      <c r="C58" s="8" t="s">
        <v>46</v>
      </c>
      <c r="D58" s="8"/>
      <c r="E58" s="8"/>
      <c r="F58" s="7">
        <f>$F$57/2/3</f>
        <v>9.1827577776320304</v>
      </c>
      <c r="G58" s="17" t="s">
        <v>270</v>
      </c>
      <c r="H58" s="5"/>
      <c r="I58" s="5" t="s">
        <v>49</v>
      </c>
      <c r="J58" s="8" t="s">
        <v>1184</v>
      </c>
      <c r="K58" s="4"/>
      <c r="L58" s="4"/>
      <c r="M58" s="5" t="s">
        <v>655</v>
      </c>
      <c r="N58" s="5" t="s">
        <v>71</v>
      </c>
      <c r="O58" s="14" t="s">
        <v>357</v>
      </c>
      <c r="P58" s="14">
        <v>1</v>
      </c>
    </row>
    <row r="59" spans="1:16" ht="24">
      <c r="A59" s="10" t="s">
        <v>657</v>
      </c>
      <c r="B59" s="5" t="s">
        <v>17</v>
      </c>
      <c r="C59" s="8" t="s">
        <v>46</v>
      </c>
      <c r="D59" s="8"/>
      <c r="E59" s="8"/>
      <c r="F59" s="7">
        <f t="shared" ref="F59:F65" si="0">$F$57/2/3</f>
        <v>9.1827577776320304</v>
      </c>
      <c r="G59" s="17" t="s">
        <v>270</v>
      </c>
      <c r="H59" s="5"/>
      <c r="I59" s="5" t="s">
        <v>49</v>
      </c>
      <c r="J59" s="8" t="s">
        <v>1184</v>
      </c>
      <c r="K59" s="4"/>
      <c r="L59" s="4"/>
      <c r="M59" s="5" t="s">
        <v>655</v>
      </c>
      <c r="N59" s="5" t="s">
        <v>71</v>
      </c>
      <c r="O59" s="14" t="s">
        <v>357</v>
      </c>
      <c r="P59" s="14">
        <v>1</v>
      </c>
    </row>
    <row r="60" spans="1:16" ht="24">
      <c r="A60" s="10" t="s">
        <v>658</v>
      </c>
      <c r="B60" s="5" t="s">
        <v>17</v>
      </c>
      <c r="C60" s="8" t="s">
        <v>46</v>
      </c>
      <c r="D60" s="8"/>
      <c r="E60" s="8"/>
      <c r="F60" s="7">
        <f>$F$57/2/5</f>
        <v>5.5096546665792179</v>
      </c>
      <c r="G60" s="17" t="s">
        <v>270</v>
      </c>
      <c r="H60" s="5"/>
      <c r="I60" s="5" t="s">
        <v>49</v>
      </c>
      <c r="J60" s="8" t="s">
        <v>1185</v>
      </c>
      <c r="K60" s="4"/>
      <c r="L60" s="4"/>
      <c r="M60" s="5" t="s">
        <v>655</v>
      </c>
      <c r="N60" s="5" t="s">
        <v>71</v>
      </c>
      <c r="O60" s="14" t="s">
        <v>357</v>
      </c>
      <c r="P60" s="14">
        <v>1</v>
      </c>
    </row>
    <row r="61" spans="1:16" ht="24">
      <c r="A61" s="10" t="s">
        <v>659</v>
      </c>
      <c r="B61" s="5" t="s">
        <v>17</v>
      </c>
      <c r="C61" s="8" t="s">
        <v>46</v>
      </c>
      <c r="D61" s="8"/>
      <c r="E61" s="8"/>
      <c r="F61" s="7">
        <f t="shared" ref="F61:F64" si="1">$F$57/2/5</f>
        <v>5.5096546665792179</v>
      </c>
      <c r="G61" s="17" t="s">
        <v>270</v>
      </c>
      <c r="H61" s="5"/>
      <c r="I61" s="5" t="s">
        <v>49</v>
      </c>
      <c r="J61" s="8" t="s">
        <v>1185</v>
      </c>
      <c r="K61" s="4"/>
      <c r="L61" s="4"/>
      <c r="M61" s="5" t="s">
        <v>655</v>
      </c>
      <c r="N61" s="5" t="s">
        <v>51</v>
      </c>
      <c r="O61" s="14" t="s">
        <v>357</v>
      </c>
      <c r="P61" s="14">
        <v>1</v>
      </c>
    </row>
    <row r="62" spans="1:16" ht="24">
      <c r="A62" s="10" t="s">
        <v>660</v>
      </c>
      <c r="B62" s="5" t="s">
        <v>17</v>
      </c>
      <c r="C62" s="8" t="s">
        <v>46</v>
      </c>
      <c r="D62" s="8"/>
      <c r="E62" s="8"/>
      <c r="F62" s="7">
        <f t="shared" si="1"/>
        <v>5.5096546665792179</v>
      </c>
      <c r="G62" s="17" t="s">
        <v>270</v>
      </c>
      <c r="H62" s="5"/>
      <c r="I62" s="5" t="s">
        <v>49</v>
      </c>
      <c r="J62" s="8" t="s">
        <v>1185</v>
      </c>
      <c r="K62" s="4"/>
      <c r="L62" s="4"/>
      <c r="M62" s="5" t="s">
        <v>655</v>
      </c>
      <c r="N62" s="5" t="s">
        <v>51</v>
      </c>
      <c r="O62" s="14" t="s">
        <v>357</v>
      </c>
      <c r="P62" s="14">
        <v>1</v>
      </c>
    </row>
    <row r="63" spans="1:16" ht="24">
      <c r="A63" s="10" t="s">
        <v>661</v>
      </c>
      <c r="B63" s="5" t="s">
        <v>17</v>
      </c>
      <c r="C63" s="8" t="s">
        <v>46</v>
      </c>
      <c r="D63" s="8"/>
      <c r="E63" s="8"/>
      <c r="F63" s="7">
        <f t="shared" si="1"/>
        <v>5.5096546665792179</v>
      </c>
      <c r="G63" s="17" t="s">
        <v>270</v>
      </c>
      <c r="H63" s="5"/>
      <c r="I63" s="5" t="s">
        <v>49</v>
      </c>
      <c r="J63" s="8" t="s">
        <v>1185</v>
      </c>
      <c r="K63" s="4"/>
      <c r="L63" s="4"/>
      <c r="M63" s="5" t="s">
        <v>655</v>
      </c>
      <c r="N63" s="5" t="s">
        <v>51</v>
      </c>
      <c r="O63" s="14" t="s">
        <v>357</v>
      </c>
      <c r="P63" s="14">
        <v>1</v>
      </c>
    </row>
    <row r="64" spans="1:16" ht="24">
      <c r="A64" s="10" t="s">
        <v>662</v>
      </c>
      <c r="B64" s="5" t="s">
        <v>17</v>
      </c>
      <c r="C64" s="8" t="s">
        <v>46</v>
      </c>
      <c r="D64" s="8"/>
      <c r="E64" s="8"/>
      <c r="F64" s="7">
        <f t="shared" si="1"/>
        <v>5.5096546665792179</v>
      </c>
      <c r="G64" s="17" t="s">
        <v>270</v>
      </c>
      <c r="H64" s="5"/>
      <c r="I64" s="5" t="s">
        <v>49</v>
      </c>
      <c r="J64" s="8" t="s">
        <v>1185</v>
      </c>
      <c r="K64" s="4"/>
      <c r="L64" s="4"/>
      <c r="M64" s="5" t="s">
        <v>655</v>
      </c>
      <c r="N64" s="5" t="s">
        <v>51</v>
      </c>
      <c r="O64" s="14" t="s">
        <v>357</v>
      </c>
      <c r="P64" s="14">
        <v>1</v>
      </c>
    </row>
    <row r="65" spans="1:16" ht="24">
      <c r="A65" s="10" t="s">
        <v>663</v>
      </c>
      <c r="B65" s="5" t="s">
        <v>17</v>
      </c>
      <c r="C65" s="8" t="s">
        <v>46</v>
      </c>
      <c r="D65" s="8"/>
      <c r="E65" s="8"/>
      <c r="F65" s="7">
        <f t="shared" si="0"/>
        <v>9.1827577776320304</v>
      </c>
      <c r="G65" s="17" t="s">
        <v>270</v>
      </c>
      <c r="H65" s="5"/>
      <c r="I65" s="5" t="s">
        <v>49</v>
      </c>
      <c r="J65" s="8" t="s">
        <v>1184</v>
      </c>
      <c r="K65" s="4"/>
      <c r="L65" s="4"/>
      <c r="M65" s="5" t="s">
        <v>655</v>
      </c>
      <c r="N65" s="5" t="s">
        <v>71</v>
      </c>
      <c r="O65" s="14" t="s">
        <v>357</v>
      </c>
      <c r="P65" s="14">
        <v>1</v>
      </c>
    </row>
    <row r="66" spans="1:16" ht="36">
      <c r="A66" s="10" t="s">
        <v>664</v>
      </c>
      <c r="B66" s="5" t="s">
        <v>17</v>
      </c>
      <c r="C66" s="8" t="s">
        <v>46</v>
      </c>
      <c r="D66" s="8"/>
      <c r="E66" s="8"/>
      <c r="F66" s="7">
        <v>0.71</v>
      </c>
      <c r="G66" s="8" t="s">
        <v>665</v>
      </c>
      <c r="H66" s="5">
        <v>150</v>
      </c>
      <c r="I66" s="5" t="s">
        <v>569</v>
      </c>
      <c r="J66" s="26" t="s">
        <v>666</v>
      </c>
      <c r="K66" s="4"/>
      <c r="L66" s="4"/>
      <c r="M66" s="5" t="s">
        <v>655</v>
      </c>
      <c r="N66" s="5" t="s">
        <v>51</v>
      </c>
      <c r="O66" s="14" t="s">
        <v>357</v>
      </c>
      <c r="P66" s="14">
        <v>2</v>
      </c>
    </row>
    <row r="67" spans="1:16">
      <c r="A67" s="10" t="s">
        <v>667</v>
      </c>
      <c r="B67" s="5" t="s">
        <v>17</v>
      </c>
      <c r="C67" s="8" t="s">
        <v>46</v>
      </c>
      <c r="D67" s="8"/>
      <c r="E67" s="8"/>
      <c r="F67" s="7">
        <f>Cardiovascular!F93</f>
        <v>55.096546665792182</v>
      </c>
      <c r="G67" s="17" t="s">
        <v>270</v>
      </c>
      <c r="H67" s="5"/>
      <c r="I67" s="5" t="s">
        <v>49</v>
      </c>
      <c r="J67" s="8"/>
      <c r="K67" s="4" t="s">
        <v>654</v>
      </c>
      <c r="L67" s="4"/>
      <c r="M67" s="5" t="s">
        <v>655</v>
      </c>
      <c r="N67" s="5" t="s">
        <v>71</v>
      </c>
      <c r="O67" s="14" t="s">
        <v>357</v>
      </c>
      <c r="P67" s="14">
        <v>1</v>
      </c>
    </row>
    <row r="68" spans="1:16" ht="24">
      <c r="A68" s="10" t="s">
        <v>668</v>
      </c>
      <c r="B68" s="5" t="s">
        <v>17</v>
      </c>
      <c r="C68" s="8" t="s">
        <v>46</v>
      </c>
      <c r="D68" s="8"/>
      <c r="E68" s="8"/>
      <c r="F68" s="7">
        <f>$F$67/2/3</f>
        <v>9.1827577776320304</v>
      </c>
      <c r="G68" s="17" t="s">
        <v>270</v>
      </c>
      <c r="H68" s="5"/>
      <c r="I68" s="5" t="s">
        <v>49</v>
      </c>
      <c r="J68" s="8" t="s">
        <v>1184</v>
      </c>
      <c r="K68" s="4"/>
      <c r="L68" s="4"/>
      <c r="M68" s="5" t="s">
        <v>655</v>
      </c>
      <c r="N68" s="5" t="s">
        <v>71</v>
      </c>
      <c r="O68" s="14" t="s">
        <v>357</v>
      </c>
      <c r="P68" s="14">
        <v>1</v>
      </c>
    </row>
    <row r="69" spans="1:16" ht="24">
      <c r="A69" s="10" t="s">
        <v>669</v>
      </c>
      <c r="B69" s="5" t="s">
        <v>17</v>
      </c>
      <c r="C69" s="8" t="s">
        <v>46</v>
      </c>
      <c r="D69" s="8"/>
      <c r="E69" s="8"/>
      <c r="F69" s="7">
        <f t="shared" ref="F69:F75" si="2">$F$67/2/3</f>
        <v>9.1827577776320304</v>
      </c>
      <c r="G69" s="17" t="s">
        <v>270</v>
      </c>
      <c r="H69" s="5"/>
      <c r="I69" s="5" t="s">
        <v>49</v>
      </c>
      <c r="J69" s="8" t="s">
        <v>1184</v>
      </c>
      <c r="K69" s="4"/>
      <c r="L69" s="4"/>
      <c r="M69" s="5" t="s">
        <v>655</v>
      </c>
      <c r="N69" s="5" t="s">
        <v>71</v>
      </c>
      <c r="O69" s="14" t="s">
        <v>357</v>
      </c>
      <c r="P69" s="14">
        <v>1</v>
      </c>
    </row>
    <row r="70" spans="1:16" ht="24">
      <c r="A70" s="10" t="s">
        <v>670</v>
      </c>
      <c r="B70" s="5" t="s">
        <v>17</v>
      </c>
      <c r="C70" s="8" t="s">
        <v>46</v>
      </c>
      <c r="D70" s="8"/>
      <c r="E70" s="8"/>
      <c r="F70" s="7">
        <f>$F$67/2/5</f>
        <v>5.5096546665792179</v>
      </c>
      <c r="G70" s="17" t="s">
        <v>270</v>
      </c>
      <c r="H70" s="5"/>
      <c r="I70" s="5" t="s">
        <v>49</v>
      </c>
      <c r="J70" s="8" t="s">
        <v>1185</v>
      </c>
      <c r="K70" s="4"/>
      <c r="L70" s="4"/>
      <c r="M70" s="5" t="s">
        <v>655</v>
      </c>
      <c r="N70" s="5" t="s">
        <v>71</v>
      </c>
      <c r="O70" s="14" t="s">
        <v>357</v>
      </c>
      <c r="P70" s="14">
        <v>1</v>
      </c>
    </row>
    <row r="71" spans="1:16" ht="24">
      <c r="A71" s="10" t="s">
        <v>671</v>
      </c>
      <c r="B71" s="5" t="s">
        <v>17</v>
      </c>
      <c r="C71" s="8" t="s">
        <v>46</v>
      </c>
      <c r="D71" s="8"/>
      <c r="E71" s="8"/>
      <c r="F71" s="7">
        <f t="shared" ref="F71:F74" si="3">$F$67/2/5</f>
        <v>5.5096546665792179</v>
      </c>
      <c r="G71" s="17" t="s">
        <v>270</v>
      </c>
      <c r="H71" s="5"/>
      <c r="I71" s="5" t="s">
        <v>49</v>
      </c>
      <c r="J71" s="8" t="s">
        <v>1185</v>
      </c>
      <c r="K71" s="4"/>
      <c r="L71" s="4"/>
      <c r="M71" s="5" t="s">
        <v>655</v>
      </c>
      <c r="N71" s="5" t="s">
        <v>51</v>
      </c>
      <c r="O71" s="14" t="s">
        <v>357</v>
      </c>
      <c r="P71" s="14">
        <v>1</v>
      </c>
    </row>
    <row r="72" spans="1:16" ht="24">
      <c r="A72" s="10" t="s">
        <v>672</v>
      </c>
      <c r="B72" s="5" t="s">
        <v>17</v>
      </c>
      <c r="C72" s="8" t="s">
        <v>46</v>
      </c>
      <c r="D72" s="8"/>
      <c r="E72" s="8"/>
      <c r="F72" s="7">
        <f t="shared" si="3"/>
        <v>5.5096546665792179</v>
      </c>
      <c r="G72" s="17" t="s">
        <v>270</v>
      </c>
      <c r="H72" s="5"/>
      <c r="I72" s="5" t="s">
        <v>49</v>
      </c>
      <c r="J72" s="8" t="s">
        <v>1185</v>
      </c>
      <c r="K72" s="4"/>
      <c r="L72" s="4"/>
      <c r="M72" s="5" t="s">
        <v>655</v>
      </c>
      <c r="N72" s="5" t="s">
        <v>51</v>
      </c>
      <c r="O72" s="14" t="s">
        <v>357</v>
      </c>
      <c r="P72" s="14">
        <v>1</v>
      </c>
    </row>
    <row r="73" spans="1:16" ht="24">
      <c r="A73" s="10" t="s">
        <v>673</v>
      </c>
      <c r="B73" s="5" t="s">
        <v>17</v>
      </c>
      <c r="C73" s="8" t="s">
        <v>46</v>
      </c>
      <c r="D73" s="8"/>
      <c r="E73" s="8"/>
      <c r="F73" s="7">
        <f t="shared" si="3"/>
        <v>5.5096546665792179</v>
      </c>
      <c r="G73" s="17" t="s">
        <v>270</v>
      </c>
      <c r="H73" s="5"/>
      <c r="I73" s="5" t="s">
        <v>49</v>
      </c>
      <c r="J73" s="8" t="s">
        <v>1185</v>
      </c>
      <c r="K73" s="4"/>
      <c r="L73" s="4"/>
      <c r="M73" s="5" t="s">
        <v>655</v>
      </c>
      <c r="N73" s="5" t="s">
        <v>51</v>
      </c>
      <c r="O73" s="14" t="s">
        <v>357</v>
      </c>
      <c r="P73" s="14">
        <v>1</v>
      </c>
    </row>
    <row r="74" spans="1:16" ht="24">
      <c r="A74" s="10" t="s">
        <v>674</v>
      </c>
      <c r="B74" s="5" t="s">
        <v>17</v>
      </c>
      <c r="C74" s="8" t="s">
        <v>46</v>
      </c>
      <c r="D74" s="8"/>
      <c r="E74" s="8"/>
      <c r="F74" s="7">
        <f t="shared" si="3"/>
        <v>5.5096546665792179</v>
      </c>
      <c r="G74" s="17" t="s">
        <v>270</v>
      </c>
      <c r="H74" s="5"/>
      <c r="I74" s="5" t="s">
        <v>49</v>
      </c>
      <c r="J74" s="8" t="s">
        <v>1185</v>
      </c>
      <c r="K74" s="4"/>
      <c r="L74" s="4"/>
      <c r="M74" s="5" t="s">
        <v>655</v>
      </c>
      <c r="N74" s="5" t="s">
        <v>51</v>
      </c>
      <c r="O74" s="14" t="s">
        <v>357</v>
      </c>
      <c r="P74" s="14">
        <v>1</v>
      </c>
    </row>
    <row r="75" spans="1:16" ht="24">
      <c r="A75" s="10" t="s">
        <v>675</v>
      </c>
      <c r="B75" s="5" t="s">
        <v>17</v>
      </c>
      <c r="C75" s="8" t="s">
        <v>46</v>
      </c>
      <c r="D75" s="8"/>
      <c r="E75" s="8"/>
      <c r="F75" s="7">
        <f t="shared" si="2"/>
        <v>9.1827577776320304</v>
      </c>
      <c r="G75" s="17" t="s">
        <v>270</v>
      </c>
      <c r="H75" s="5"/>
      <c r="I75" s="5" t="s">
        <v>49</v>
      </c>
      <c r="J75" s="8" t="s">
        <v>1184</v>
      </c>
      <c r="K75" s="4"/>
      <c r="L75" s="4"/>
      <c r="M75" s="5" t="s">
        <v>655</v>
      </c>
      <c r="N75" s="5" t="s">
        <v>71</v>
      </c>
      <c r="O75" s="14" t="s">
        <v>357</v>
      </c>
      <c r="P75" s="14">
        <v>1</v>
      </c>
    </row>
    <row r="76" spans="1:16" ht="36">
      <c r="A76" s="10" t="s">
        <v>676</v>
      </c>
      <c r="B76" s="5" t="s">
        <v>17</v>
      </c>
      <c r="C76" s="8" t="s">
        <v>46</v>
      </c>
      <c r="D76" s="8"/>
      <c r="E76" s="8"/>
      <c r="F76" s="7">
        <v>0.71</v>
      </c>
      <c r="G76" s="8" t="s">
        <v>665</v>
      </c>
      <c r="H76" s="5">
        <v>150</v>
      </c>
      <c r="I76" s="5" t="s">
        <v>569</v>
      </c>
      <c r="J76" s="26" t="s">
        <v>666</v>
      </c>
      <c r="K76" s="4"/>
      <c r="L76" s="4"/>
      <c r="M76" s="5" t="s">
        <v>655</v>
      </c>
      <c r="N76" s="5" t="s">
        <v>51</v>
      </c>
      <c r="O76" s="14" t="s">
        <v>357</v>
      </c>
      <c r="P76" s="14">
        <v>2</v>
      </c>
    </row>
    <row r="77" spans="1:16">
      <c r="A77" s="10" t="s">
        <v>677</v>
      </c>
      <c r="B77" s="5" t="s">
        <v>200</v>
      </c>
      <c r="C77" s="8" t="s">
        <v>46</v>
      </c>
      <c r="D77" s="8"/>
      <c r="E77" s="8"/>
      <c r="F77" s="5">
        <v>100</v>
      </c>
      <c r="G77" s="8" t="s">
        <v>15</v>
      </c>
      <c r="H77" s="5">
        <v>321</v>
      </c>
      <c r="I77" s="5" t="s">
        <v>569</v>
      </c>
      <c r="J77" s="8"/>
      <c r="K77" s="4" t="s">
        <v>678</v>
      </c>
      <c r="L77" s="4"/>
      <c r="M77" s="5" t="s">
        <v>655</v>
      </c>
      <c r="N77" s="5" t="s">
        <v>71</v>
      </c>
      <c r="O77" s="14" t="s">
        <v>357</v>
      </c>
      <c r="P77" s="14"/>
    </row>
    <row r="78" spans="1:16">
      <c r="A78" s="10" t="s">
        <v>679</v>
      </c>
      <c r="B78" s="5" t="s">
        <v>200</v>
      </c>
      <c r="C78" s="8" t="s">
        <v>46</v>
      </c>
      <c r="D78" s="8"/>
      <c r="E78" s="8"/>
      <c r="F78" s="5">
        <v>8</v>
      </c>
      <c r="G78" s="8" t="s">
        <v>15</v>
      </c>
      <c r="H78" s="5">
        <v>321</v>
      </c>
      <c r="I78" s="5" t="s">
        <v>569</v>
      </c>
      <c r="J78" s="8"/>
      <c r="K78" s="4" t="s">
        <v>678</v>
      </c>
      <c r="L78" s="4"/>
      <c r="M78" s="5" t="s">
        <v>655</v>
      </c>
      <c r="N78" s="5" t="s">
        <v>71</v>
      </c>
      <c r="O78" s="14" t="s">
        <v>357</v>
      </c>
      <c r="P78" s="14">
        <v>1</v>
      </c>
    </row>
    <row r="79" spans="1:16">
      <c r="A79" s="10" t="s">
        <v>680</v>
      </c>
      <c r="B79" s="5" t="s">
        <v>200</v>
      </c>
      <c r="C79" s="8" t="s">
        <v>46</v>
      </c>
      <c r="D79" s="8"/>
      <c r="E79" s="8"/>
      <c r="F79" s="5">
        <v>85</v>
      </c>
      <c r="G79" s="8" t="s">
        <v>15</v>
      </c>
      <c r="H79" s="5">
        <v>321</v>
      </c>
      <c r="I79" s="5" t="s">
        <v>569</v>
      </c>
      <c r="J79" s="8"/>
      <c r="K79" s="4" t="s">
        <v>678</v>
      </c>
      <c r="L79" s="4"/>
      <c r="M79" s="5" t="s">
        <v>655</v>
      </c>
      <c r="N79" s="5" t="s">
        <v>71</v>
      </c>
      <c r="O79" s="14" t="s">
        <v>357</v>
      </c>
      <c r="P79" s="14"/>
    </row>
    <row r="80" spans="1:16">
      <c r="A80" s="10" t="s">
        <v>681</v>
      </c>
      <c r="B80" s="5" t="s">
        <v>200</v>
      </c>
      <c r="C80" s="8" t="s">
        <v>46</v>
      </c>
      <c r="D80" s="8"/>
      <c r="E80" s="8"/>
      <c r="F80" s="5">
        <v>60</v>
      </c>
      <c r="G80" s="8" t="s">
        <v>15</v>
      </c>
      <c r="H80" s="5">
        <v>318</v>
      </c>
      <c r="I80" s="5" t="s">
        <v>569</v>
      </c>
      <c r="J80" s="8"/>
      <c r="K80" s="4" t="s">
        <v>682</v>
      </c>
      <c r="L80" s="4"/>
      <c r="M80" s="5" t="s">
        <v>655</v>
      </c>
      <c r="N80" s="5" t="s">
        <v>71</v>
      </c>
      <c r="O80" s="14" t="s">
        <v>357</v>
      </c>
      <c r="P80" s="14"/>
    </row>
    <row r="81" spans="1:16">
      <c r="A81" s="10" t="s">
        <v>683</v>
      </c>
      <c r="B81" s="5" t="s">
        <v>200</v>
      </c>
      <c r="C81" s="8" t="s">
        <v>46</v>
      </c>
      <c r="D81" s="8"/>
      <c r="E81" s="8"/>
      <c r="F81" s="5">
        <v>59</v>
      </c>
      <c r="G81" s="8" t="s">
        <v>15</v>
      </c>
      <c r="H81" s="5">
        <v>321</v>
      </c>
      <c r="I81" s="5" t="s">
        <v>569</v>
      </c>
      <c r="J81" s="8"/>
      <c r="K81" s="4" t="s">
        <v>678</v>
      </c>
      <c r="L81" s="4"/>
      <c r="M81" s="5" t="s">
        <v>655</v>
      </c>
      <c r="N81" s="5" t="s">
        <v>71</v>
      </c>
      <c r="O81" s="14" t="s">
        <v>357</v>
      </c>
      <c r="P81" s="14"/>
    </row>
    <row r="82" spans="1:16">
      <c r="A82" s="88" t="s">
        <v>684</v>
      </c>
      <c r="B82" s="76" t="s">
        <v>200</v>
      </c>
      <c r="C82" s="11" t="s">
        <v>46</v>
      </c>
      <c r="D82" s="8"/>
      <c r="E82" s="8"/>
      <c r="F82" s="76" t="s">
        <v>685</v>
      </c>
      <c r="G82" s="11" t="s">
        <v>15</v>
      </c>
      <c r="H82" s="5" t="s">
        <v>686</v>
      </c>
      <c r="I82" s="5" t="s">
        <v>569</v>
      </c>
      <c r="J82" s="4"/>
      <c r="K82" s="4" t="s">
        <v>678</v>
      </c>
      <c r="L82" s="4"/>
      <c r="M82" s="5" t="s">
        <v>655</v>
      </c>
      <c r="N82" s="5" t="s">
        <v>71</v>
      </c>
      <c r="O82" s="14" t="s">
        <v>357</v>
      </c>
      <c r="P82" s="14"/>
    </row>
    <row r="83" spans="1:16">
      <c r="A83" s="10" t="s">
        <v>687</v>
      </c>
      <c r="B83" s="5" t="s">
        <v>200</v>
      </c>
      <c r="C83" s="8" t="s">
        <v>46</v>
      </c>
      <c r="D83" s="8"/>
      <c r="E83" s="8"/>
      <c r="F83" s="5">
        <v>18</v>
      </c>
      <c r="G83" s="8" t="s">
        <v>15</v>
      </c>
      <c r="H83" s="5">
        <v>318</v>
      </c>
      <c r="I83" s="5" t="s">
        <v>569</v>
      </c>
      <c r="J83" s="8"/>
      <c r="K83" s="4" t="s">
        <v>688</v>
      </c>
      <c r="L83" s="4"/>
      <c r="M83" s="5" t="s">
        <v>655</v>
      </c>
      <c r="N83" s="5" t="s">
        <v>71</v>
      </c>
      <c r="O83" s="14" t="s">
        <v>357</v>
      </c>
      <c r="P83" s="14"/>
    </row>
    <row r="84" spans="1:16">
      <c r="A84" s="10" t="s">
        <v>689</v>
      </c>
      <c r="B84" s="5" t="s">
        <v>200</v>
      </c>
      <c r="C84" s="8" t="s">
        <v>46</v>
      </c>
      <c r="D84" s="8"/>
      <c r="E84" s="8"/>
      <c r="F84" s="5">
        <v>6</v>
      </c>
      <c r="G84" s="8" t="s">
        <v>15</v>
      </c>
      <c r="H84" s="5">
        <v>340</v>
      </c>
      <c r="I84" s="5" t="s">
        <v>569</v>
      </c>
      <c r="J84" s="8"/>
      <c r="K84" s="4"/>
      <c r="L84" s="4"/>
      <c r="M84" s="5" t="s">
        <v>655</v>
      </c>
      <c r="N84" s="5" t="s">
        <v>71</v>
      </c>
      <c r="O84" s="14" t="s">
        <v>357</v>
      </c>
      <c r="P84" s="14"/>
    </row>
    <row r="85" spans="1:16">
      <c r="A85" s="10" t="s">
        <v>690</v>
      </c>
      <c r="B85" s="5" t="s">
        <v>200</v>
      </c>
      <c r="C85" s="8" t="s">
        <v>46</v>
      </c>
      <c r="D85" s="8"/>
      <c r="E85" s="8"/>
      <c r="F85" s="5">
        <v>100</v>
      </c>
      <c r="G85" s="8" t="s">
        <v>15</v>
      </c>
      <c r="H85" s="5">
        <v>321</v>
      </c>
      <c r="I85" s="5" t="s">
        <v>569</v>
      </c>
      <c r="J85" s="8"/>
      <c r="K85" s="4" t="s">
        <v>678</v>
      </c>
      <c r="L85" s="4"/>
      <c r="M85" s="5" t="s">
        <v>655</v>
      </c>
      <c r="N85" s="5" t="s">
        <v>71</v>
      </c>
      <c r="O85" s="14" t="s">
        <v>357</v>
      </c>
      <c r="P85" s="14"/>
    </row>
    <row r="86" spans="1:16">
      <c r="A86" s="10" t="s">
        <v>691</v>
      </c>
      <c r="B86" s="5" t="s">
        <v>200</v>
      </c>
      <c r="C86" s="8" t="s">
        <v>46</v>
      </c>
      <c r="D86" s="8"/>
      <c r="E86" s="8"/>
      <c r="F86" s="5">
        <v>8</v>
      </c>
      <c r="G86" s="8" t="s">
        <v>15</v>
      </c>
      <c r="H86" s="5">
        <v>321</v>
      </c>
      <c r="I86" s="5" t="s">
        <v>569</v>
      </c>
      <c r="J86" s="8"/>
      <c r="K86" s="4" t="s">
        <v>678</v>
      </c>
      <c r="L86" s="4"/>
      <c r="M86" s="5" t="s">
        <v>655</v>
      </c>
      <c r="N86" s="5" t="s">
        <v>71</v>
      </c>
      <c r="O86" s="14" t="s">
        <v>357</v>
      </c>
      <c r="P86" s="14">
        <v>1</v>
      </c>
    </row>
    <row r="87" spans="1:16">
      <c r="A87" s="10" t="s">
        <v>692</v>
      </c>
      <c r="B87" s="5" t="s">
        <v>200</v>
      </c>
      <c r="C87" s="8" t="s">
        <v>46</v>
      </c>
      <c r="D87" s="8"/>
      <c r="E87" s="8"/>
      <c r="F87" s="5">
        <v>85</v>
      </c>
      <c r="G87" s="8" t="s">
        <v>15</v>
      </c>
      <c r="H87" s="5">
        <v>321</v>
      </c>
      <c r="I87" s="5" t="s">
        <v>569</v>
      </c>
      <c r="J87" s="8"/>
      <c r="K87" s="4" t="s">
        <v>678</v>
      </c>
      <c r="L87" s="4"/>
      <c r="M87" s="5" t="s">
        <v>655</v>
      </c>
      <c r="N87" s="5" t="s">
        <v>71</v>
      </c>
      <c r="O87" s="14" t="s">
        <v>357</v>
      </c>
      <c r="P87" s="14"/>
    </row>
    <row r="88" spans="1:16">
      <c r="A88" s="10" t="s">
        <v>693</v>
      </c>
      <c r="B88" s="5" t="s">
        <v>200</v>
      </c>
      <c r="C88" s="8" t="s">
        <v>46</v>
      </c>
      <c r="D88" s="8"/>
      <c r="E88" s="8"/>
      <c r="F88" s="5">
        <v>60</v>
      </c>
      <c r="G88" s="8" t="s">
        <v>15</v>
      </c>
      <c r="H88" s="5">
        <v>318</v>
      </c>
      <c r="I88" s="5" t="s">
        <v>569</v>
      </c>
      <c r="J88" s="8"/>
      <c r="K88" s="4" t="s">
        <v>682</v>
      </c>
      <c r="L88" s="4"/>
      <c r="M88" s="5" t="s">
        <v>655</v>
      </c>
      <c r="N88" s="5" t="s">
        <v>71</v>
      </c>
      <c r="O88" s="14" t="s">
        <v>357</v>
      </c>
      <c r="P88" s="14"/>
    </row>
    <row r="89" spans="1:16">
      <c r="A89" s="10" t="s">
        <v>694</v>
      </c>
      <c r="B89" s="5" t="s">
        <v>200</v>
      </c>
      <c r="C89" s="8" t="s">
        <v>46</v>
      </c>
      <c r="D89" s="8"/>
      <c r="E89" s="8"/>
      <c r="F89" s="5">
        <v>59</v>
      </c>
      <c r="G89" s="8" t="s">
        <v>15</v>
      </c>
      <c r="H89" s="5">
        <v>321</v>
      </c>
      <c r="I89" s="5" t="s">
        <v>569</v>
      </c>
      <c r="J89" s="8"/>
      <c r="K89" s="4" t="s">
        <v>678</v>
      </c>
      <c r="L89" s="4"/>
      <c r="M89" s="5" t="s">
        <v>655</v>
      </c>
      <c r="N89" s="5" t="s">
        <v>71</v>
      </c>
      <c r="O89" s="14" t="s">
        <v>357</v>
      </c>
      <c r="P89" s="14"/>
    </row>
    <row r="90" spans="1:16">
      <c r="A90" s="10" t="s">
        <v>695</v>
      </c>
      <c r="B90" s="5" t="s">
        <v>200</v>
      </c>
      <c r="C90" s="8" t="s">
        <v>46</v>
      </c>
      <c r="D90" s="8"/>
      <c r="E90" s="8"/>
      <c r="F90" s="5" t="s">
        <v>685</v>
      </c>
      <c r="G90" s="8" t="s">
        <v>15</v>
      </c>
      <c r="H90" s="5" t="s">
        <v>686</v>
      </c>
      <c r="I90" s="5" t="s">
        <v>569</v>
      </c>
      <c r="J90" s="8"/>
      <c r="K90" s="4" t="s">
        <v>678</v>
      </c>
      <c r="L90" s="4"/>
      <c r="M90" s="5" t="s">
        <v>655</v>
      </c>
      <c r="N90" s="5" t="s">
        <v>71</v>
      </c>
      <c r="O90" s="14" t="s">
        <v>357</v>
      </c>
      <c r="P90" s="14"/>
    </row>
    <row r="91" spans="1:16">
      <c r="A91" s="10" t="s">
        <v>696</v>
      </c>
      <c r="B91" s="5" t="s">
        <v>200</v>
      </c>
      <c r="C91" s="8" t="s">
        <v>46</v>
      </c>
      <c r="D91" s="8"/>
      <c r="E91" s="8"/>
      <c r="F91" s="5">
        <v>18</v>
      </c>
      <c r="G91" s="8" t="s">
        <v>15</v>
      </c>
      <c r="H91" s="5">
        <v>318</v>
      </c>
      <c r="I91" s="5" t="s">
        <v>569</v>
      </c>
      <c r="J91" s="8"/>
      <c r="K91" s="4" t="s">
        <v>688</v>
      </c>
      <c r="L91" s="4"/>
      <c r="M91" s="5" t="s">
        <v>655</v>
      </c>
      <c r="N91" s="5" t="s">
        <v>71</v>
      </c>
      <c r="O91" s="14" t="s">
        <v>357</v>
      </c>
      <c r="P91" s="14"/>
    </row>
    <row r="92" spans="1:16">
      <c r="A92" s="10" t="s">
        <v>697</v>
      </c>
      <c r="B92" s="5" t="s">
        <v>200</v>
      </c>
      <c r="C92" s="8" t="s">
        <v>46</v>
      </c>
      <c r="D92" s="8"/>
      <c r="E92" s="8"/>
      <c r="F92" s="5">
        <v>6</v>
      </c>
      <c r="G92" s="8" t="s">
        <v>15</v>
      </c>
      <c r="H92" s="5">
        <v>340</v>
      </c>
      <c r="I92" s="5" t="s">
        <v>569</v>
      </c>
      <c r="J92" s="8"/>
      <c r="K92" s="4"/>
      <c r="L92" s="4"/>
      <c r="M92" s="5" t="s">
        <v>655</v>
      </c>
      <c r="N92" s="5" t="s">
        <v>71</v>
      </c>
      <c r="O92" s="14" t="s">
        <v>357</v>
      </c>
      <c r="P92" s="14"/>
    </row>
    <row r="93" spans="1:16">
      <c r="A93" s="10" t="s">
        <v>698</v>
      </c>
      <c r="B93" s="5" t="s">
        <v>14</v>
      </c>
      <c r="C93" s="8" t="s">
        <v>46</v>
      </c>
      <c r="D93" s="8"/>
      <c r="E93" s="8"/>
      <c r="F93" s="5">
        <v>550</v>
      </c>
      <c r="G93" s="8" t="s">
        <v>15</v>
      </c>
      <c r="H93" s="5">
        <v>309</v>
      </c>
      <c r="I93" s="5" t="s">
        <v>569</v>
      </c>
      <c r="J93" s="8"/>
      <c r="K93" s="4" t="s">
        <v>699</v>
      </c>
      <c r="L93" s="4"/>
      <c r="M93" s="5" t="s">
        <v>655</v>
      </c>
      <c r="N93" s="5" t="s">
        <v>71</v>
      </c>
      <c r="O93" s="14" t="s">
        <v>357</v>
      </c>
      <c r="P93" s="14"/>
    </row>
    <row r="94" spans="1:16">
      <c r="A94" s="10" t="s">
        <v>700</v>
      </c>
      <c r="B94" s="8" t="s">
        <v>568</v>
      </c>
      <c r="C94" s="8" t="s">
        <v>46</v>
      </c>
      <c r="D94" s="8"/>
      <c r="E94" s="8"/>
      <c r="F94" s="8">
        <v>0.75</v>
      </c>
      <c r="G94" s="8" t="s">
        <v>15</v>
      </c>
      <c r="H94" s="8" t="s">
        <v>701</v>
      </c>
      <c r="I94" s="5" t="s">
        <v>569</v>
      </c>
      <c r="J94" s="8"/>
      <c r="K94" s="4"/>
      <c r="L94" s="4"/>
      <c r="M94" s="5" t="s">
        <v>655</v>
      </c>
      <c r="N94" s="5" t="s">
        <v>51</v>
      </c>
      <c r="O94" s="14" t="s">
        <v>357</v>
      </c>
      <c r="P94" s="14">
        <v>2</v>
      </c>
    </row>
    <row r="95" spans="1:16">
      <c r="A95" s="10" t="s">
        <v>702</v>
      </c>
      <c r="B95" s="5" t="s">
        <v>14</v>
      </c>
      <c r="C95" s="8" t="s">
        <v>46</v>
      </c>
      <c r="D95" s="8"/>
      <c r="E95" s="8"/>
      <c r="F95" s="5">
        <v>550</v>
      </c>
      <c r="G95" s="8" t="s">
        <v>15</v>
      </c>
      <c r="H95" s="5">
        <v>309</v>
      </c>
      <c r="I95" s="5" t="s">
        <v>569</v>
      </c>
      <c r="J95" s="8"/>
      <c r="K95" s="4" t="s">
        <v>699</v>
      </c>
      <c r="L95" s="4"/>
      <c r="M95" s="5" t="s">
        <v>655</v>
      </c>
      <c r="N95" s="5" t="s">
        <v>71</v>
      </c>
      <c r="O95" s="14" t="s">
        <v>357</v>
      </c>
      <c r="P95" s="14"/>
    </row>
    <row r="96" spans="1:16">
      <c r="A96" s="10" t="s">
        <v>703</v>
      </c>
      <c r="B96" s="8" t="s">
        <v>568</v>
      </c>
      <c r="C96" s="8" t="s">
        <v>46</v>
      </c>
      <c r="D96" s="8"/>
      <c r="E96" s="8"/>
      <c r="F96" s="8">
        <v>0.75</v>
      </c>
      <c r="G96" s="8" t="s">
        <v>15</v>
      </c>
      <c r="H96" s="8" t="s">
        <v>701</v>
      </c>
      <c r="I96" s="5" t="s">
        <v>569</v>
      </c>
      <c r="J96" s="8"/>
      <c r="K96" s="4"/>
      <c r="L96" s="4"/>
      <c r="M96" s="5" t="s">
        <v>655</v>
      </c>
      <c r="N96" s="5" t="s">
        <v>51</v>
      </c>
      <c r="O96" s="14" t="s">
        <v>357</v>
      </c>
      <c r="P96" s="14">
        <v>2</v>
      </c>
    </row>
    <row r="97" spans="1:16" ht="24">
      <c r="A97" s="10" t="s">
        <v>704</v>
      </c>
      <c r="B97" s="26" t="s">
        <v>146</v>
      </c>
      <c r="C97" s="8" t="s">
        <v>46</v>
      </c>
      <c r="D97" s="8"/>
      <c r="E97" s="8"/>
      <c r="F97" s="26">
        <v>0</v>
      </c>
      <c r="G97" s="26" t="s">
        <v>705</v>
      </c>
      <c r="H97" s="4"/>
      <c r="I97" s="5" t="s">
        <v>49</v>
      </c>
      <c r="J97" s="26" t="s">
        <v>706</v>
      </c>
      <c r="K97" s="26" t="s">
        <v>707</v>
      </c>
      <c r="L97" s="5" t="s">
        <v>708</v>
      </c>
      <c r="M97" s="5" t="s">
        <v>655</v>
      </c>
      <c r="N97" s="5" t="s">
        <v>51</v>
      </c>
      <c r="O97" s="14" t="s">
        <v>357</v>
      </c>
      <c r="P97" s="14">
        <v>1</v>
      </c>
    </row>
    <row r="98" spans="1:16" ht="24">
      <c r="A98" s="10" t="s">
        <v>709</v>
      </c>
      <c r="B98" s="26" t="s">
        <v>146</v>
      </c>
      <c r="C98" s="8" t="s">
        <v>46</v>
      </c>
      <c r="D98" s="8"/>
      <c r="E98" s="8"/>
      <c r="F98" s="26">
        <v>6.6699999999999995E-2</v>
      </c>
      <c r="G98" s="26" t="s">
        <v>710</v>
      </c>
      <c r="H98" s="18"/>
      <c r="I98" s="5" t="s">
        <v>49</v>
      </c>
      <c r="J98" s="18" t="s">
        <v>711</v>
      </c>
      <c r="K98" s="26" t="s">
        <v>712</v>
      </c>
      <c r="L98" s="5"/>
      <c r="M98" s="5" t="s">
        <v>655</v>
      </c>
      <c r="N98" s="5" t="s">
        <v>51</v>
      </c>
      <c r="O98" s="14" t="s">
        <v>357</v>
      </c>
      <c r="P98" s="14">
        <v>1</v>
      </c>
    </row>
    <row r="99" spans="1:16" ht="24">
      <c r="A99" s="10" t="s">
        <v>713</v>
      </c>
      <c r="B99" s="26" t="s">
        <v>146</v>
      </c>
      <c r="C99" s="8" t="s">
        <v>46</v>
      </c>
      <c r="D99" s="8"/>
      <c r="E99" s="8"/>
      <c r="F99" s="26">
        <v>8.1000000000000003E-2</v>
      </c>
      <c r="G99" s="26" t="s">
        <v>112</v>
      </c>
      <c r="H99" s="26" t="s">
        <v>714</v>
      </c>
      <c r="I99" s="5" t="s">
        <v>49</v>
      </c>
      <c r="J99" s="26" t="s">
        <v>715</v>
      </c>
      <c r="K99" s="26" t="s">
        <v>712</v>
      </c>
      <c r="L99" s="5"/>
      <c r="M99" s="5" t="s">
        <v>655</v>
      </c>
      <c r="N99" s="5" t="s">
        <v>51</v>
      </c>
      <c r="O99" s="14" t="s">
        <v>357</v>
      </c>
      <c r="P99" s="14">
        <v>1</v>
      </c>
    </row>
    <row r="100" spans="1:16" ht="24">
      <c r="A100" s="10" t="s">
        <v>716</v>
      </c>
      <c r="B100" s="26" t="s">
        <v>146</v>
      </c>
      <c r="C100" s="8" t="s">
        <v>46</v>
      </c>
      <c r="D100" s="8"/>
      <c r="E100" s="8"/>
      <c r="F100" s="26" t="s">
        <v>717</v>
      </c>
      <c r="G100" s="26" t="s">
        <v>112</v>
      </c>
      <c r="H100" s="18" t="s">
        <v>718</v>
      </c>
      <c r="I100" s="5" t="s">
        <v>49</v>
      </c>
      <c r="J100" s="26" t="s">
        <v>719</v>
      </c>
      <c r="K100" s="5"/>
      <c r="L100" s="5"/>
      <c r="M100" s="5" t="s">
        <v>655</v>
      </c>
      <c r="N100" s="5" t="s">
        <v>51</v>
      </c>
      <c r="O100" s="14" t="s">
        <v>357</v>
      </c>
      <c r="P100" s="14">
        <v>3</v>
      </c>
    </row>
    <row r="101" spans="1:16" ht="24">
      <c r="A101" s="10" t="s">
        <v>720</v>
      </c>
      <c r="B101" s="26" t="s">
        <v>146</v>
      </c>
      <c r="C101" s="8" t="s">
        <v>46</v>
      </c>
      <c r="D101" s="8"/>
      <c r="E101" s="8"/>
      <c r="F101" s="26" t="s">
        <v>721</v>
      </c>
      <c r="G101" s="26" t="s">
        <v>112</v>
      </c>
      <c r="H101" s="26" t="s">
        <v>718</v>
      </c>
      <c r="I101" s="5" t="s">
        <v>49</v>
      </c>
      <c r="J101" s="26" t="s">
        <v>722</v>
      </c>
      <c r="K101" s="5"/>
      <c r="L101" s="5"/>
      <c r="M101" s="5" t="s">
        <v>655</v>
      </c>
      <c r="N101" s="5" t="s">
        <v>51</v>
      </c>
      <c r="O101" s="14" t="s">
        <v>357</v>
      </c>
      <c r="P101" s="14">
        <v>2</v>
      </c>
    </row>
    <row r="102" spans="1:16" ht="36">
      <c r="A102" s="10" t="s">
        <v>723</v>
      </c>
      <c r="B102" s="26" t="s">
        <v>146</v>
      </c>
      <c r="C102" s="8" t="s">
        <v>46</v>
      </c>
      <c r="D102" s="8"/>
      <c r="E102" s="8"/>
      <c r="F102" s="26">
        <v>0</v>
      </c>
      <c r="G102" s="26" t="s">
        <v>112</v>
      </c>
      <c r="H102" s="26" t="s">
        <v>724</v>
      </c>
      <c r="I102" s="5" t="s">
        <v>49</v>
      </c>
      <c r="J102" s="26"/>
      <c r="K102" s="26" t="s">
        <v>725</v>
      </c>
      <c r="L102" s="5"/>
      <c r="M102" s="5" t="s">
        <v>655</v>
      </c>
      <c r="N102" s="5" t="s">
        <v>51</v>
      </c>
      <c r="O102" s="14" t="s">
        <v>357</v>
      </c>
      <c r="P102" s="14">
        <v>1</v>
      </c>
    </row>
    <row r="103" spans="1:16" ht="24">
      <c r="A103" s="10" t="s">
        <v>726</v>
      </c>
      <c r="B103" s="26" t="s">
        <v>146</v>
      </c>
      <c r="C103" s="8" t="s">
        <v>46</v>
      </c>
      <c r="D103" s="8"/>
      <c r="E103" s="8"/>
      <c r="F103" s="26" t="s">
        <v>727</v>
      </c>
      <c r="G103" s="26" t="s">
        <v>112</v>
      </c>
      <c r="H103" s="26" t="s">
        <v>591</v>
      </c>
      <c r="I103" s="5" t="s">
        <v>49</v>
      </c>
      <c r="J103" s="26" t="s">
        <v>728</v>
      </c>
      <c r="K103" s="5"/>
      <c r="L103" s="5"/>
      <c r="M103" s="5" t="s">
        <v>655</v>
      </c>
      <c r="N103" s="5" t="s">
        <v>51</v>
      </c>
      <c r="O103" s="14" t="s">
        <v>357</v>
      </c>
      <c r="P103" s="14">
        <v>3</v>
      </c>
    </row>
    <row r="104" spans="1:16" ht="24">
      <c r="A104" s="10" t="s">
        <v>729</v>
      </c>
      <c r="B104" s="26" t="s">
        <v>146</v>
      </c>
      <c r="C104" s="8" t="s">
        <v>46</v>
      </c>
      <c r="D104" s="8"/>
      <c r="E104" s="8"/>
      <c r="F104" s="26" t="s">
        <v>730</v>
      </c>
      <c r="G104" s="26" t="s">
        <v>112</v>
      </c>
      <c r="H104" s="26" t="s">
        <v>591</v>
      </c>
      <c r="I104" s="5" t="s">
        <v>49</v>
      </c>
      <c r="J104" s="26" t="s">
        <v>731</v>
      </c>
      <c r="K104" s="5"/>
      <c r="L104" s="5"/>
      <c r="M104" s="5" t="s">
        <v>655</v>
      </c>
      <c r="N104" s="5" t="s">
        <v>51</v>
      </c>
      <c r="O104" s="14" t="s">
        <v>357</v>
      </c>
      <c r="P104" s="14">
        <v>3</v>
      </c>
    </row>
    <row r="105" spans="1:16" ht="24">
      <c r="A105" s="10" t="s">
        <v>732</v>
      </c>
      <c r="B105" s="26" t="s">
        <v>146</v>
      </c>
      <c r="C105" s="8" t="s">
        <v>46</v>
      </c>
      <c r="D105" s="8"/>
      <c r="E105" s="8"/>
      <c r="F105" s="26">
        <v>0</v>
      </c>
      <c r="G105" s="26" t="s">
        <v>733</v>
      </c>
      <c r="H105" s="18" t="s">
        <v>734</v>
      </c>
      <c r="I105" s="5" t="s">
        <v>49</v>
      </c>
      <c r="J105" s="26" t="s">
        <v>735</v>
      </c>
      <c r="K105" s="26" t="s">
        <v>707</v>
      </c>
      <c r="L105" s="5" t="s">
        <v>708</v>
      </c>
      <c r="M105" s="5" t="s">
        <v>655</v>
      </c>
      <c r="N105" s="5" t="s">
        <v>51</v>
      </c>
      <c r="O105" s="14" t="s">
        <v>357</v>
      </c>
      <c r="P105" s="14">
        <v>4</v>
      </c>
    </row>
    <row r="106" spans="1:16" ht="24">
      <c r="A106" s="10" t="s">
        <v>736</v>
      </c>
      <c r="B106" s="26" t="s">
        <v>146</v>
      </c>
      <c r="C106" s="8" t="s">
        <v>46</v>
      </c>
      <c r="D106" s="8"/>
      <c r="E106" s="8"/>
      <c r="F106" s="26" t="s">
        <v>737</v>
      </c>
      <c r="G106" s="26" t="s">
        <v>112</v>
      </c>
      <c r="H106" s="26" t="s">
        <v>591</v>
      </c>
      <c r="I106" s="5" t="s">
        <v>49</v>
      </c>
      <c r="J106" s="26" t="s">
        <v>738</v>
      </c>
      <c r="K106" s="5"/>
      <c r="L106" s="5"/>
      <c r="M106" s="5" t="s">
        <v>655</v>
      </c>
      <c r="N106" s="5" t="s">
        <v>51</v>
      </c>
      <c r="O106" s="14" t="s">
        <v>357</v>
      </c>
      <c r="P106" s="14">
        <v>2</v>
      </c>
    </row>
    <row r="107" spans="1:16">
      <c r="A107" s="10" t="s">
        <v>739</v>
      </c>
      <c r="B107" s="26" t="s">
        <v>146</v>
      </c>
      <c r="C107" s="8" t="s">
        <v>46</v>
      </c>
      <c r="D107" s="8"/>
      <c r="E107" s="8"/>
      <c r="F107" s="89" t="s">
        <v>740</v>
      </c>
      <c r="G107" s="26" t="s">
        <v>112</v>
      </c>
      <c r="H107" s="18" t="s">
        <v>591</v>
      </c>
      <c r="I107" s="5" t="s">
        <v>49</v>
      </c>
      <c r="J107" s="18"/>
      <c r="K107" s="5"/>
      <c r="L107" s="5"/>
      <c r="M107" s="5" t="s">
        <v>655</v>
      </c>
      <c r="N107" s="5" t="s">
        <v>51</v>
      </c>
      <c r="O107" s="14" t="s">
        <v>357</v>
      </c>
      <c r="P107" s="14">
        <v>1</v>
      </c>
    </row>
    <row r="108" spans="1:16" ht="24">
      <c r="A108" s="28" t="s">
        <v>741</v>
      </c>
      <c r="B108" s="3" t="s">
        <v>1</v>
      </c>
      <c r="C108" s="9" t="s">
        <v>31</v>
      </c>
      <c r="D108" s="9" t="s">
        <v>32</v>
      </c>
      <c r="E108" s="9" t="s">
        <v>33</v>
      </c>
      <c r="F108" s="9" t="s">
        <v>124</v>
      </c>
      <c r="G108" s="29" t="s">
        <v>125</v>
      </c>
      <c r="H108" s="29" t="s">
        <v>126</v>
      </c>
      <c r="I108" s="3" t="s">
        <v>36</v>
      </c>
      <c r="J108" s="3" t="s">
        <v>37</v>
      </c>
      <c r="K108" s="3" t="s">
        <v>38</v>
      </c>
      <c r="L108" s="29" t="s">
        <v>39</v>
      </c>
      <c r="M108" s="9" t="s">
        <v>40</v>
      </c>
      <c r="N108" s="9" t="s">
        <v>41</v>
      </c>
      <c r="O108" s="9" t="s">
        <v>42</v>
      </c>
      <c r="P108" s="9" t="s">
        <v>43</v>
      </c>
    </row>
    <row r="109" spans="1:16" ht="36">
      <c r="A109" s="10" t="s">
        <v>742</v>
      </c>
      <c r="B109" s="26" t="s">
        <v>743</v>
      </c>
      <c r="C109" s="8" t="s">
        <v>46</v>
      </c>
      <c r="D109" s="8"/>
      <c r="E109" s="8"/>
      <c r="F109" s="26">
        <v>0</v>
      </c>
      <c r="G109" s="26" t="s">
        <v>705</v>
      </c>
      <c r="H109" s="26"/>
      <c r="I109" s="26" t="s">
        <v>49</v>
      </c>
      <c r="J109" s="26" t="s">
        <v>744</v>
      </c>
      <c r="K109" s="26" t="s">
        <v>745</v>
      </c>
      <c r="L109" s="21"/>
      <c r="M109" s="2" t="s">
        <v>746</v>
      </c>
      <c r="N109" s="5" t="s">
        <v>140</v>
      </c>
      <c r="O109" s="14" t="s">
        <v>132</v>
      </c>
      <c r="P109" s="14">
        <v>1</v>
      </c>
    </row>
    <row r="110" spans="1:16" ht="24">
      <c r="A110" s="10" t="s">
        <v>747</v>
      </c>
      <c r="B110" s="26" t="s">
        <v>743</v>
      </c>
      <c r="C110" s="8" t="s">
        <v>46</v>
      </c>
      <c r="D110" s="8"/>
      <c r="E110" s="8"/>
      <c r="F110" s="26">
        <v>2.41E-5</v>
      </c>
      <c r="G110" s="18" t="s">
        <v>748</v>
      </c>
      <c r="H110" s="18" t="s">
        <v>748</v>
      </c>
      <c r="I110" s="26" t="s">
        <v>49</v>
      </c>
      <c r="J110" s="26" t="s">
        <v>744</v>
      </c>
      <c r="K110" s="26" t="s">
        <v>749</v>
      </c>
      <c r="L110" s="4"/>
      <c r="M110" s="5" t="s">
        <v>746</v>
      </c>
      <c r="N110" s="5" t="s">
        <v>101</v>
      </c>
      <c r="O110" s="14" t="s">
        <v>132</v>
      </c>
      <c r="P110" s="14">
        <v>8</v>
      </c>
    </row>
    <row r="111" spans="1:16" ht="24">
      <c r="A111" s="10" t="s">
        <v>750</v>
      </c>
      <c r="B111" s="8"/>
      <c r="C111" s="8" t="s">
        <v>46</v>
      </c>
      <c r="D111" s="8"/>
      <c r="E111" s="8"/>
      <c r="F111" s="20" t="s">
        <v>751</v>
      </c>
      <c r="G111" s="17" t="s">
        <v>752</v>
      </c>
      <c r="H111" s="17">
        <v>401</v>
      </c>
      <c r="I111" s="26" t="s">
        <v>569</v>
      </c>
      <c r="J111" s="17"/>
      <c r="K111" s="33"/>
      <c r="L111" s="21"/>
      <c r="M111" s="5" t="s">
        <v>746</v>
      </c>
      <c r="N111" s="5" t="s">
        <v>140</v>
      </c>
      <c r="O111" s="14" t="s">
        <v>132</v>
      </c>
      <c r="P111" s="14">
        <v>4</v>
      </c>
    </row>
    <row r="112" spans="1:16" ht="36">
      <c r="A112" s="10" t="s">
        <v>753</v>
      </c>
      <c r="B112" s="26" t="s">
        <v>743</v>
      </c>
      <c r="C112" s="8" t="s">
        <v>46</v>
      </c>
      <c r="D112" s="8"/>
      <c r="E112" s="8"/>
      <c r="F112" s="26">
        <v>1.1000000000000001E-3</v>
      </c>
      <c r="G112" s="17" t="s">
        <v>112</v>
      </c>
      <c r="H112" s="18" t="s">
        <v>754</v>
      </c>
      <c r="I112" s="26" t="s">
        <v>49</v>
      </c>
      <c r="J112" s="18" t="s">
        <v>744</v>
      </c>
      <c r="K112" s="26" t="s">
        <v>745</v>
      </c>
      <c r="L112" s="4"/>
      <c r="M112" s="5" t="s">
        <v>746</v>
      </c>
      <c r="N112" s="5" t="s">
        <v>140</v>
      </c>
      <c r="O112" s="14" t="s">
        <v>132</v>
      </c>
      <c r="P112" s="14">
        <v>5</v>
      </c>
    </row>
    <row r="113" spans="1:16">
      <c r="A113" s="10" t="s">
        <v>755</v>
      </c>
      <c r="B113" s="8" t="s">
        <v>756</v>
      </c>
      <c r="C113" s="8" t="s">
        <v>46</v>
      </c>
      <c r="D113" s="8"/>
      <c r="E113" s="8"/>
      <c r="F113" s="8">
        <v>0.122</v>
      </c>
      <c r="G113" s="17" t="s">
        <v>112</v>
      </c>
      <c r="H113" s="17">
        <v>10</v>
      </c>
      <c r="I113" s="26" t="s">
        <v>569</v>
      </c>
      <c r="J113" s="17" t="s">
        <v>757</v>
      </c>
      <c r="K113" s="33"/>
      <c r="L113" s="21"/>
      <c r="M113" s="5" t="s">
        <v>746</v>
      </c>
      <c r="N113" s="5" t="s">
        <v>140</v>
      </c>
      <c r="O113" s="14" t="s">
        <v>132</v>
      </c>
      <c r="P113" s="14">
        <v>3</v>
      </c>
    </row>
    <row r="114" spans="1:16">
      <c r="A114" s="10" t="s">
        <v>758</v>
      </c>
      <c r="B114" s="8" t="s">
        <v>756</v>
      </c>
      <c r="C114" s="8" t="s">
        <v>46</v>
      </c>
      <c r="D114" s="8"/>
      <c r="E114" s="8"/>
      <c r="F114" s="8">
        <v>274.58999999999997</v>
      </c>
      <c r="G114" s="17" t="s">
        <v>112</v>
      </c>
      <c r="H114" s="17">
        <v>10</v>
      </c>
      <c r="I114" s="26" t="s">
        <v>569</v>
      </c>
      <c r="J114" s="17" t="s">
        <v>759</v>
      </c>
      <c r="K114" s="33"/>
      <c r="L114" s="21"/>
      <c r="M114" s="5" t="s">
        <v>746</v>
      </c>
      <c r="N114" s="5" t="s">
        <v>51</v>
      </c>
      <c r="O114" s="14" t="s">
        <v>132</v>
      </c>
      <c r="P114" s="14"/>
    </row>
    <row r="115" spans="1:16">
      <c r="A115" s="10" t="s">
        <v>760</v>
      </c>
      <c r="B115" s="8" t="s">
        <v>756</v>
      </c>
      <c r="C115" s="8" t="s">
        <v>46</v>
      </c>
      <c r="D115" s="8"/>
      <c r="E115" s="8"/>
      <c r="F115" s="8">
        <v>274.46796000000001</v>
      </c>
      <c r="G115" s="17" t="s">
        <v>112</v>
      </c>
      <c r="H115" s="17">
        <v>10</v>
      </c>
      <c r="I115" s="26" t="s">
        <v>569</v>
      </c>
      <c r="J115" s="17" t="s">
        <v>761</v>
      </c>
      <c r="K115" s="33"/>
      <c r="L115" s="21"/>
      <c r="M115" s="5" t="s">
        <v>746</v>
      </c>
      <c r="N115" s="5" t="s">
        <v>71</v>
      </c>
      <c r="O115" s="14" t="s">
        <v>132</v>
      </c>
      <c r="P115" s="14"/>
    </row>
    <row r="116" spans="1:16" ht="36">
      <c r="A116" s="10" t="s">
        <v>762</v>
      </c>
      <c r="B116" s="26" t="s">
        <v>743</v>
      </c>
      <c r="C116" s="8" t="s">
        <v>46</v>
      </c>
      <c r="D116" s="8"/>
      <c r="E116" s="8"/>
      <c r="F116" s="26">
        <v>2.35E-2</v>
      </c>
      <c r="G116" s="18" t="s">
        <v>763</v>
      </c>
      <c r="H116" s="18" t="s">
        <v>764</v>
      </c>
      <c r="I116" s="26" t="s">
        <v>49</v>
      </c>
      <c r="J116" s="18"/>
      <c r="K116" s="26" t="s">
        <v>745</v>
      </c>
      <c r="L116" s="4"/>
      <c r="M116" s="5" t="s">
        <v>746</v>
      </c>
      <c r="N116" s="5" t="s">
        <v>140</v>
      </c>
      <c r="O116" s="14" t="s">
        <v>132</v>
      </c>
      <c r="P116" s="14">
        <v>4</v>
      </c>
    </row>
    <row r="117" spans="1:16" ht="24">
      <c r="A117" s="10" t="s">
        <v>765</v>
      </c>
      <c r="B117" s="8" t="s">
        <v>756</v>
      </c>
      <c r="C117" s="8" t="s">
        <v>46</v>
      </c>
      <c r="D117" s="8"/>
      <c r="E117" s="8"/>
      <c r="F117" s="8" t="s">
        <v>766</v>
      </c>
      <c r="G117" s="17" t="s">
        <v>767</v>
      </c>
      <c r="H117" s="17">
        <v>160</v>
      </c>
      <c r="I117" s="26" t="s">
        <v>569</v>
      </c>
      <c r="J117" s="17" t="s">
        <v>768</v>
      </c>
      <c r="K117" s="33"/>
      <c r="L117" s="21"/>
      <c r="M117" s="5" t="s">
        <v>746</v>
      </c>
      <c r="N117" s="5" t="s">
        <v>71</v>
      </c>
      <c r="O117" s="14" t="s">
        <v>132</v>
      </c>
      <c r="P117" s="14">
        <v>3</v>
      </c>
    </row>
    <row r="118" spans="1:16">
      <c r="A118" s="10" t="s">
        <v>769</v>
      </c>
      <c r="B118" s="8" t="s">
        <v>756</v>
      </c>
      <c r="C118" s="8" t="s">
        <v>46</v>
      </c>
      <c r="D118" s="8"/>
      <c r="E118" s="8"/>
      <c r="F118" s="8">
        <v>10</v>
      </c>
      <c r="G118" s="17" t="s">
        <v>767</v>
      </c>
      <c r="H118" s="17">
        <v>160</v>
      </c>
      <c r="I118" s="26" t="s">
        <v>569</v>
      </c>
      <c r="J118" s="17" t="s">
        <v>770</v>
      </c>
      <c r="K118" s="33"/>
      <c r="L118" s="21"/>
      <c r="M118" s="5" t="s">
        <v>746</v>
      </c>
      <c r="N118" s="5" t="s">
        <v>71</v>
      </c>
      <c r="O118" s="14" t="s">
        <v>132</v>
      </c>
      <c r="P118" s="14">
        <v>1</v>
      </c>
    </row>
    <row r="119" spans="1:16" ht="24">
      <c r="A119" s="10" t="s">
        <v>771</v>
      </c>
      <c r="B119" s="8" t="s">
        <v>756</v>
      </c>
      <c r="C119" s="8" t="s">
        <v>46</v>
      </c>
      <c r="D119" s="8"/>
      <c r="E119" s="8"/>
      <c r="F119" s="8" t="s">
        <v>772</v>
      </c>
      <c r="G119" s="17" t="s">
        <v>767</v>
      </c>
      <c r="H119" s="17">
        <v>160</v>
      </c>
      <c r="I119" s="26" t="s">
        <v>569</v>
      </c>
      <c r="J119" s="17" t="s">
        <v>773</v>
      </c>
      <c r="K119" s="33"/>
      <c r="L119" s="21"/>
      <c r="M119" s="5" t="s">
        <v>746</v>
      </c>
      <c r="N119" s="5" t="s">
        <v>71</v>
      </c>
      <c r="O119" s="14" t="s">
        <v>132</v>
      </c>
      <c r="P119" s="14">
        <v>1</v>
      </c>
    </row>
    <row r="120" spans="1:16" ht="36">
      <c r="A120" s="10" t="s">
        <v>774</v>
      </c>
      <c r="B120" s="26" t="s">
        <v>743</v>
      </c>
      <c r="C120" s="8" t="s">
        <v>46</v>
      </c>
      <c r="D120" s="8"/>
      <c r="E120" s="8"/>
      <c r="F120" s="26">
        <v>2.39</v>
      </c>
      <c r="G120" s="18" t="s">
        <v>763</v>
      </c>
      <c r="H120" s="18" t="s">
        <v>591</v>
      </c>
      <c r="I120" s="26" t="s">
        <v>49</v>
      </c>
      <c r="J120" s="18"/>
      <c r="K120" s="26" t="s">
        <v>745</v>
      </c>
      <c r="L120" s="4"/>
      <c r="M120" s="5" t="s">
        <v>746</v>
      </c>
      <c r="N120" s="5" t="s">
        <v>140</v>
      </c>
      <c r="O120" s="14" t="s">
        <v>132</v>
      </c>
      <c r="P120" s="14">
        <v>2</v>
      </c>
    </row>
    <row r="121" spans="1:16" ht="24">
      <c r="A121" s="10" t="s">
        <v>775</v>
      </c>
      <c r="B121" s="8" t="s">
        <v>776</v>
      </c>
      <c r="C121" s="8" t="s">
        <v>46</v>
      </c>
      <c r="D121" s="8"/>
      <c r="E121" s="8"/>
      <c r="F121" s="26" t="s">
        <v>777</v>
      </c>
      <c r="G121" s="17" t="s">
        <v>112</v>
      </c>
      <c r="H121" s="18" t="s">
        <v>591</v>
      </c>
      <c r="I121" s="26" t="s">
        <v>569</v>
      </c>
      <c r="J121" s="17"/>
      <c r="K121" s="26" t="s">
        <v>778</v>
      </c>
      <c r="L121" s="21"/>
      <c r="M121" s="5" t="s">
        <v>746</v>
      </c>
      <c r="N121" s="5" t="s">
        <v>140</v>
      </c>
      <c r="O121" s="14" t="s">
        <v>132</v>
      </c>
      <c r="P121" s="14">
        <v>3</v>
      </c>
    </row>
    <row r="122" spans="1:16" ht="24">
      <c r="A122" s="10" t="s">
        <v>779</v>
      </c>
      <c r="B122" s="8" t="s">
        <v>776</v>
      </c>
      <c r="C122" s="8" t="s">
        <v>46</v>
      </c>
      <c r="D122" s="8"/>
      <c r="E122" s="8"/>
      <c r="F122" s="26" t="s">
        <v>777</v>
      </c>
      <c r="G122" s="17" t="s">
        <v>112</v>
      </c>
      <c r="H122" s="18" t="s">
        <v>591</v>
      </c>
      <c r="I122" s="26" t="s">
        <v>569</v>
      </c>
      <c r="J122" s="17"/>
      <c r="K122" s="26" t="s">
        <v>778</v>
      </c>
      <c r="L122" s="21"/>
      <c r="M122" s="5" t="s">
        <v>746</v>
      </c>
      <c r="N122" s="5" t="s">
        <v>140</v>
      </c>
      <c r="O122" s="14" t="s">
        <v>132</v>
      </c>
      <c r="P122" s="14">
        <v>3</v>
      </c>
    </row>
    <row r="123" spans="1:16">
      <c r="A123" s="10" t="s">
        <v>780</v>
      </c>
      <c r="B123" s="8" t="s">
        <v>776</v>
      </c>
      <c r="C123" s="8" t="s">
        <v>46</v>
      </c>
      <c r="D123" s="8"/>
      <c r="E123" s="8"/>
      <c r="F123" s="26">
        <v>0</v>
      </c>
      <c r="G123" s="17" t="s">
        <v>15</v>
      </c>
      <c r="H123" s="17">
        <v>341</v>
      </c>
      <c r="I123" s="26" t="s">
        <v>569</v>
      </c>
      <c r="J123" s="4"/>
      <c r="K123" s="17" t="s">
        <v>781</v>
      </c>
      <c r="L123" s="21"/>
      <c r="M123" s="5" t="s">
        <v>746</v>
      </c>
      <c r="N123" s="5" t="s">
        <v>140</v>
      </c>
      <c r="O123" s="14" t="s">
        <v>132</v>
      </c>
      <c r="P123" s="14">
        <v>1</v>
      </c>
    </row>
    <row r="124" spans="1:16" ht="48">
      <c r="A124" s="10" t="s">
        <v>782</v>
      </c>
      <c r="B124" s="26" t="s">
        <v>743</v>
      </c>
      <c r="C124" s="8" t="s">
        <v>46</v>
      </c>
      <c r="D124" s="8"/>
      <c r="E124" s="8"/>
      <c r="F124" s="26">
        <v>0</v>
      </c>
      <c r="G124" s="18" t="s">
        <v>783</v>
      </c>
      <c r="H124" s="18" t="s">
        <v>784</v>
      </c>
      <c r="I124" s="26" t="s">
        <v>49</v>
      </c>
      <c r="J124" s="4"/>
      <c r="K124" s="18" t="s">
        <v>785</v>
      </c>
      <c r="L124" s="4"/>
      <c r="M124" s="5" t="s">
        <v>746</v>
      </c>
      <c r="N124" s="5" t="s">
        <v>71</v>
      </c>
      <c r="O124" s="14" t="s">
        <v>132</v>
      </c>
      <c r="P124" s="14">
        <v>1</v>
      </c>
    </row>
    <row r="125" spans="1:16" ht="24">
      <c r="A125" s="10" t="s">
        <v>786</v>
      </c>
      <c r="B125" s="8" t="s">
        <v>756</v>
      </c>
      <c r="C125" s="8" t="s">
        <v>46</v>
      </c>
      <c r="D125" s="8"/>
      <c r="E125" s="8"/>
      <c r="F125" s="8">
        <v>0</v>
      </c>
      <c r="G125" s="17" t="s">
        <v>112</v>
      </c>
      <c r="H125" s="17">
        <v>290</v>
      </c>
      <c r="I125" s="26" t="s">
        <v>569</v>
      </c>
      <c r="J125" s="4"/>
      <c r="K125" s="17" t="s">
        <v>787</v>
      </c>
      <c r="L125" s="21"/>
      <c r="M125" s="5" t="s">
        <v>746</v>
      </c>
      <c r="N125" s="5" t="s">
        <v>71</v>
      </c>
      <c r="O125" s="14" t="s">
        <v>132</v>
      </c>
      <c r="P125" s="14">
        <v>1</v>
      </c>
    </row>
    <row r="126" spans="1:16">
      <c r="A126" s="10" t="s">
        <v>788</v>
      </c>
      <c r="B126" s="8" t="s">
        <v>756</v>
      </c>
      <c r="C126" s="8" t="s">
        <v>46</v>
      </c>
      <c r="D126" s="8"/>
      <c r="E126" s="8"/>
      <c r="F126" s="8">
        <v>180</v>
      </c>
      <c r="G126" s="17" t="s">
        <v>112</v>
      </c>
      <c r="H126" s="17">
        <v>10</v>
      </c>
      <c r="I126" s="26" t="s">
        <v>569</v>
      </c>
      <c r="J126" s="17" t="s">
        <v>789</v>
      </c>
      <c r="K126" s="33"/>
      <c r="L126" s="21"/>
      <c r="M126" s="5" t="s">
        <v>746</v>
      </c>
      <c r="N126" s="5" t="s">
        <v>71</v>
      </c>
      <c r="O126" s="14" t="s">
        <v>132</v>
      </c>
      <c r="P126" s="14">
        <v>1</v>
      </c>
    </row>
    <row r="127" spans="1:16">
      <c r="A127" s="10" t="s">
        <v>790</v>
      </c>
      <c r="B127" s="8"/>
      <c r="C127" s="8" t="s">
        <v>46</v>
      </c>
      <c r="D127" s="8"/>
      <c r="E127" s="8"/>
      <c r="F127" s="8">
        <v>1</v>
      </c>
      <c r="G127" s="17" t="s">
        <v>791</v>
      </c>
      <c r="H127" s="17">
        <v>401</v>
      </c>
      <c r="I127" s="26" t="s">
        <v>569</v>
      </c>
      <c r="J127" s="4"/>
      <c r="K127" s="33"/>
      <c r="L127" s="21"/>
      <c r="M127" s="5" t="s">
        <v>746</v>
      </c>
      <c r="N127" s="5" t="s">
        <v>71</v>
      </c>
      <c r="O127" s="14" t="s">
        <v>132</v>
      </c>
      <c r="P127" s="14">
        <v>1</v>
      </c>
    </row>
    <row r="128" spans="1:16">
      <c r="A128" s="10" t="s">
        <v>792</v>
      </c>
      <c r="B128" s="8" t="s">
        <v>756</v>
      </c>
      <c r="C128" s="8" t="s">
        <v>46</v>
      </c>
      <c r="D128" s="8"/>
      <c r="E128" s="8"/>
      <c r="F128" s="8">
        <v>180</v>
      </c>
      <c r="G128" s="17" t="s">
        <v>112</v>
      </c>
      <c r="H128" s="17">
        <v>10</v>
      </c>
      <c r="I128" s="26" t="s">
        <v>569</v>
      </c>
      <c r="J128" s="17" t="s">
        <v>793</v>
      </c>
      <c r="K128" s="33"/>
      <c r="L128" s="21"/>
      <c r="M128" s="5" t="s">
        <v>746</v>
      </c>
      <c r="N128" s="5" t="s">
        <v>71</v>
      </c>
      <c r="O128" s="14" t="s">
        <v>132</v>
      </c>
      <c r="P128" s="14">
        <v>1</v>
      </c>
    </row>
    <row r="129" spans="1:16" ht="24">
      <c r="A129" s="10" t="s">
        <v>794</v>
      </c>
      <c r="B129" s="8"/>
      <c r="C129" s="8" t="s">
        <v>46</v>
      </c>
      <c r="D129" s="8"/>
      <c r="E129" s="8"/>
      <c r="F129" s="20">
        <v>0.01</v>
      </c>
      <c r="G129" s="17" t="s">
        <v>791</v>
      </c>
      <c r="H129" s="17">
        <v>401</v>
      </c>
      <c r="I129" s="26" t="s">
        <v>569</v>
      </c>
      <c r="J129" s="4"/>
      <c r="K129" s="17" t="s">
        <v>795</v>
      </c>
      <c r="L129" s="21"/>
      <c r="M129" s="5" t="s">
        <v>746</v>
      </c>
      <c r="N129" s="5" t="s">
        <v>51</v>
      </c>
      <c r="O129" s="14" t="s">
        <v>132</v>
      </c>
      <c r="P129" s="14">
        <v>3</v>
      </c>
    </row>
    <row r="130" spans="1:16" ht="36">
      <c r="A130" s="10" t="s">
        <v>796</v>
      </c>
      <c r="B130" s="26" t="s">
        <v>743</v>
      </c>
      <c r="C130" s="8" t="s">
        <v>46</v>
      </c>
      <c r="D130" s="8"/>
      <c r="E130" s="8"/>
      <c r="F130" s="26">
        <v>4.4299999999999999E-2</v>
      </c>
      <c r="G130" s="18" t="s">
        <v>797</v>
      </c>
      <c r="H130" s="18" t="s">
        <v>734</v>
      </c>
      <c r="I130" s="26" t="s">
        <v>49</v>
      </c>
      <c r="J130" s="18"/>
      <c r="K130" s="26"/>
      <c r="L130" s="4"/>
      <c r="M130" s="5" t="s">
        <v>746</v>
      </c>
      <c r="N130" s="5" t="s">
        <v>116</v>
      </c>
      <c r="O130" s="14" t="s">
        <v>132</v>
      </c>
      <c r="P130" s="14">
        <v>4</v>
      </c>
    </row>
    <row r="131" spans="1:16" ht="36">
      <c r="A131" s="10" t="s">
        <v>798</v>
      </c>
      <c r="B131" s="26" t="s">
        <v>743</v>
      </c>
      <c r="C131" s="8" t="s">
        <v>46</v>
      </c>
      <c r="D131" s="8"/>
      <c r="E131" s="8"/>
      <c r="F131" s="26">
        <v>9.7000000000000003E-3</v>
      </c>
      <c r="G131" s="18" t="s">
        <v>763</v>
      </c>
      <c r="H131" s="18" t="s">
        <v>764</v>
      </c>
      <c r="I131" s="26" t="s">
        <v>49</v>
      </c>
      <c r="J131" s="18"/>
      <c r="K131" s="26" t="s">
        <v>745</v>
      </c>
      <c r="L131" s="4"/>
      <c r="M131" s="5" t="s">
        <v>746</v>
      </c>
      <c r="N131" s="5" t="s">
        <v>116</v>
      </c>
      <c r="O131" s="14" t="s">
        <v>132</v>
      </c>
      <c r="P131" s="14">
        <v>4</v>
      </c>
    </row>
    <row r="132" spans="1:16">
      <c r="A132" s="10" t="s">
        <v>799</v>
      </c>
      <c r="B132" s="8" t="s">
        <v>756</v>
      </c>
      <c r="C132" s="8" t="s">
        <v>46</v>
      </c>
      <c r="D132" s="8"/>
      <c r="E132" s="8"/>
      <c r="F132" s="8">
        <v>3.45</v>
      </c>
      <c r="G132" s="17" t="s">
        <v>112</v>
      </c>
      <c r="H132" s="17">
        <v>10</v>
      </c>
      <c r="I132" s="26" t="s">
        <v>569</v>
      </c>
      <c r="J132" s="17" t="s">
        <v>800</v>
      </c>
      <c r="K132" s="33"/>
      <c r="L132" s="21"/>
      <c r="M132" s="5" t="s">
        <v>746</v>
      </c>
      <c r="N132" s="5" t="s">
        <v>51</v>
      </c>
      <c r="O132" s="14" t="s">
        <v>132</v>
      </c>
      <c r="P132" s="14">
        <v>2</v>
      </c>
    </row>
    <row r="133" spans="1:16">
      <c r="A133" s="10" t="s">
        <v>801</v>
      </c>
      <c r="B133" s="8" t="s">
        <v>756</v>
      </c>
      <c r="C133" s="8" t="s">
        <v>46</v>
      </c>
      <c r="D133" s="8"/>
      <c r="E133" s="8"/>
      <c r="F133" s="8">
        <v>575</v>
      </c>
      <c r="G133" s="17" t="s">
        <v>112</v>
      </c>
      <c r="H133" s="17">
        <v>10</v>
      </c>
      <c r="I133" s="26" t="s">
        <v>569</v>
      </c>
      <c r="J133" s="17" t="s">
        <v>802</v>
      </c>
      <c r="K133" s="33"/>
      <c r="L133" s="21"/>
      <c r="M133" s="5" t="s">
        <v>746</v>
      </c>
      <c r="N133" s="5" t="s">
        <v>71</v>
      </c>
      <c r="O133" s="14" t="s">
        <v>132</v>
      </c>
      <c r="P133" s="14"/>
    </row>
    <row r="134" spans="1:16">
      <c r="A134" s="10" t="s">
        <v>803</v>
      </c>
      <c r="B134" s="8"/>
      <c r="C134" s="8" t="s">
        <v>46</v>
      </c>
      <c r="D134" s="8"/>
      <c r="E134" s="8"/>
      <c r="F134" s="8">
        <v>1</v>
      </c>
      <c r="G134" s="8" t="s">
        <v>15</v>
      </c>
      <c r="H134" s="17">
        <v>317</v>
      </c>
      <c r="I134" s="26" t="s">
        <v>569</v>
      </c>
      <c r="J134" s="4"/>
      <c r="K134" s="33"/>
      <c r="L134" s="21"/>
      <c r="M134" s="5" t="s">
        <v>746</v>
      </c>
      <c r="N134" s="5" t="s">
        <v>51</v>
      </c>
      <c r="O134" s="14" t="s">
        <v>132</v>
      </c>
      <c r="P134" s="14">
        <v>1</v>
      </c>
    </row>
    <row r="135" spans="1:16">
      <c r="A135" s="10" t="s">
        <v>804</v>
      </c>
      <c r="B135" s="8" t="s">
        <v>756</v>
      </c>
      <c r="C135" s="8" t="s">
        <v>46</v>
      </c>
      <c r="D135" s="8"/>
      <c r="E135" s="8"/>
      <c r="F135" s="8">
        <v>571.54999999999995</v>
      </c>
      <c r="G135" s="17" t="s">
        <v>112</v>
      </c>
      <c r="H135" s="17">
        <v>10</v>
      </c>
      <c r="I135" s="26" t="s">
        <v>569</v>
      </c>
      <c r="J135" s="17" t="s">
        <v>805</v>
      </c>
      <c r="K135" s="33"/>
      <c r="L135" s="21"/>
      <c r="M135" s="5" t="s">
        <v>746</v>
      </c>
      <c r="N135" s="5" t="s">
        <v>71</v>
      </c>
      <c r="O135" s="14" t="s">
        <v>132</v>
      </c>
      <c r="P135" s="14"/>
    </row>
    <row r="136" spans="1:16" ht="36">
      <c r="A136" s="10" t="s">
        <v>806</v>
      </c>
      <c r="B136" s="26" t="s">
        <v>743</v>
      </c>
      <c r="C136" s="8" t="s">
        <v>46</v>
      </c>
      <c r="D136" s="8"/>
      <c r="E136" s="8"/>
      <c r="F136" s="26">
        <v>8.8000000000000005E-3</v>
      </c>
      <c r="G136" s="18" t="s">
        <v>763</v>
      </c>
      <c r="H136" s="18" t="s">
        <v>764</v>
      </c>
      <c r="I136" s="26" t="s">
        <v>49</v>
      </c>
      <c r="J136" s="18"/>
      <c r="K136" s="26" t="s">
        <v>745</v>
      </c>
      <c r="L136" s="4"/>
      <c r="M136" s="5" t="s">
        <v>746</v>
      </c>
      <c r="N136" s="5" t="s">
        <v>116</v>
      </c>
      <c r="O136" s="14" t="s">
        <v>132</v>
      </c>
      <c r="P136" s="14">
        <v>4</v>
      </c>
    </row>
    <row r="137" spans="1:16">
      <c r="A137" s="10" t="s">
        <v>807</v>
      </c>
      <c r="B137" s="8" t="s">
        <v>756</v>
      </c>
      <c r="C137" s="8" t="s">
        <v>46</v>
      </c>
      <c r="D137" s="8"/>
      <c r="E137" s="8"/>
      <c r="F137" s="8">
        <v>5.32</v>
      </c>
      <c r="G137" s="17" t="s">
        <v>112</v>
      </c>
      <c r="H137" s="17">
        <v>10</v>
      </c>
      <c r="I137" s="26" t="s">
        <v>569</v>
      </c>
      <c r="J137" s="17" t="s">
        <v>800</v>
      </c>
      <c r="K137" s="33"/>
      <c r="L137" s="21"/>
      <c r="M137" s="5" t="s">
        <v>746</v>
      </c>
      <c r="N137" s="5" t="s">
        <v>71</v>
      </c>
      <c r="O137" s="14" t="s">
        <v>132</v>
      </c>
      <c r="P137" s="14">
        <v>3</v>
      </c>
    </row>
    <row r="138" spans="1:16">
      <c r="A138" s="10" t="s">
        <v>808</v>
      </c>
      <c r="B138" s="8" t="s">
        <v>756</v>
      </c>
      <c r="C138" s="8" t="s">
        <v>46</v>
      </c>
      <c r="D138" s="8"/>
      <c r="E138" s="8"/>
      <c r="F138" s="8">
        <v>638</v>
      </c>
      <c r="G138" s="17" t="s">
        <v>112</v>
      </c>
      <c r="H138" s="17">
        <v>10</v>
      </c>
      <c r="I138" s="26" t="s">
        <v>569</v>
      </c>
      <c r="J138" s="17" t="s">
        <v>809</v>
      </c>
      <c r="K138" s="33"/>
      <c r="L138" s="21"/>
      <c r="M138" s="5" t="s">
        <v>746</v>
      </c>
      <c r="N138" s="5" t="s">
        <v>71</v>
      </c>
      <c r="O138" s="14" t="s">
        <v>132</v>
      </c>
      <c r="P138" s="14">
        <v>1</v>
      </c>
    </row>
    <row r="139" spans="1:16">
      <c r="A139" s="10" t="s">
        <v>810</v>
      </c>
      <c r="B139" s="8"/>
      <c r="C139" s="8" t="s">
        <v>46</v>
      </c>
      <c r="D139" s="8"/>
      <c r="E139" s="8"/>
      <c r="F139" s="8">
        <v>0.99199999999999999</v>
      </c>
      <c r="G139" s="8" t="s">
        <v>15</v>
      </c>
      <c r="H139" s="17">
        <v>317</v>
      </c>
      <c r="I139" s="26" t="s">
        <v>569</v>
      </c>
      <c r="J139" s="4"/>
      <c r="K139" s="33"/>
      <c r="L139" s="21"/>
      <c r="M139" s="5" t="s">
        <v>746</v>
      </c>
      <c r="N139" s="5" t="s">
        <v>51</v>
      </c>
      <c r="O139" s="14" t="s">
        <v>132</v>
      </c>
      <c r="P139" s="14">
        <v>1</v>
      </c>
    </row>
    <row r="140" spans="1:16">
      <c r="A140" s="10" t="s">
        <v>811</v>
      </c>
      <c r="B140" s="8" t="s">
        <v>756</v>
      </c>
      <c r="C140" s="8" t="s">
        <v>46</v>
      </c>
      <c r="D140" s="8"/>
      <c r="E140" s="8"/>
      <c r="F140" s="8">
        <v>632.78</v>
      </c>
      <c r="G140" s="17" t="s">
        <v>112</v>
      </c>
      <c r="H140" s="17">
        <v>10</v>
      </c>
      <c r="I140" s="26" t="s">
        <v>569</v>
      </c>
      <c r="J140" s="17" t="s">
        <v>805</v>
      </c>
      <c r="K140" s="33"/>
      <c r="L140" s="21"/>
      <c r="M140" s="5" t="s">
        <v>746</v>
      </c>
      <c r="N140" s="5" t="s">
        <v>71</v>
      </c>
      <c r="O140" s="14" t="s">
        <v>132</v>
      </c>
      <c r="P140" s="14">
        <v>1</v>
      </c>
    </row>
    <row r="141" spans="1:16" ht="36">
      <c r="A141" s="10" t="s">
        <v>812</v>
      </c>
      <c r="B141" s="26" t="s">
        <v>743</v>
      </c>
      <c r="C141" s="8" t="s">
        <v>46</v>
      </c>
      <c r="D141" s="8"/>
      <c r="E141" s="8"/>
      <c r="F141" s="26">
        <v>0.77800000000000002</v>
      </c>
      <c r="G141" s="18" t="s">
        <v>763</v>
      </c>
      <c r="H141" s="18" t="s">
        <v>764</v>
      </c>
      <c r="I141" s="26" t="s">
        <v>49</v>
      </c>
      <c r="J141" s="18"/>
      <c r="K141" s="26" t="s">
        <v>745</v>
      </c>
      <c r="L141" s="4"/>
      <c r="M141" s="5" t="s">
        <v>746</v>
      </c>
      <c r="N141" s="5" t="s">
        <v>140</v>
      </c>
      <c r="O141" s="14" t="s">
        <v>132</v>
      </c>
      <c r="P141" s="14">
        <v>3</v>
      </c>
    </row>
    <row r="142" spans="1:16">
      <c r="A142" s="10" t="s">
        <v>813</v>
      </c>
      <c r="B142" s="8" t="s">
        <v>776</v>
      </c>
      <c r="C142" s="8" t="s">
        <v>46</v>
      </c>
      <c r="D142" s="8"/>
      <c r="E142" s="8"/>
      <c r="F142" s="20">
        <v>18</v>
      </c>
      <c r="G142" s="17" t="s">
        <v>270</v>
      </c>
      <c r="H142" s="17">
        <v>160</v>
      </c>
      <c r="I142" s="26" t="s">
        <v>569</v>
      </c>
      <c r="J142" s="17"/>
      <c r="K142" s="33"/>
      <c r="L142" s="21"/>
      <c r="M142" s="5" t="s">
        <v>746</v>
      </c>
      <c r="N142" s="5" t="s">
        <v>71</v>
      </c>
      <c r="O142" s="14" t="s">
        <v>132</v>
      </c>
      <c r="P142" s="14">
        <v>1</v>
      </c>
    </row>
    <row r="143" spans="1:16">
      <c r="A143" s="10" t="s">
        <v>814</v>
      </c>
      <c r="B143" s="8" t="s">
        <v>776</v>
      </c>
      <c r="C143" s="8" t="s">
        <v>46</v>
      </c>
      <c r="D143" s="8"/>
      <c r="E143" s="8"/>
      <c r="F143" s="8">
        <v>31</v>
      </c>
      <c r="G143" s="17" t="s">
        <v>270</v>
      </c>
      <c r="H143" s="17">
        <v>160</v>
      </c>
      <c r="I143" s="26" t="s">
        <v>569</v>
      </c>
      <c r="J143" s="17"/>
      <c r="K143" s="33"/>
      <c r="L143" s="21"/>
      <c r="M143" s="5" t="s">
        <v>746</v>
      </c>
      <c r="N143" s="5" t="s">
        <v>71</v>
      </c>
      <c r="O143" s="14" t="s">
        <v>132</v>
      </c>
      <c r="P143" s="14">
        <v>1</v>
      </c>
    </row>
    <row r="144" spans="1:16">
      <c r="A144" s="10" t="s">
        <v>815</v>
      </c>
      <c r="B144" s="8" t="s">
        <v>776</v>
      </c>
      <c r="C144" s="8" t="s">
        <v>46</v>
      </c>
      <c r="D144" s="8"/>
      <c r="E144" s="8"/>
      <c r="F144" s="8">
        <v>13</v>
      </c>
      <c r="G144" s="17" t="s">
        <v>270</v>
      </c>
      <c r="H144" s="17">
        <v>160</v>
      </c>
      <c r="I144" s="26" t="s">
        <v>569</v>
      </c>
      <c r="J144" s="17" t="s">
        <v>816</v>
      </c>
      <c r="K144" s="33"/>
      <c r="L144" s="21"/>
      <c r="M144" s="5" t="s">
        <v>746</v>
      </c>
      <c r="N144" s="5" t="s">
        <v>71</v>
      </c>
      <c r="O144" s="14" t="s">
        <v>132</v>
      </c>
      <c r="P144" s="14">
        <v>1</v>
      </c>
    </row>
    <row r="145" spans="1:16" ht="24">
      <c r="A145" s="65" t="s">
        <v>817</v>
      </c>
      <c r="B145" s="9" t="s">
        <v>1</v>
      </c>
      <c r="C145" s="9" t="s">
        <v>31</v>
      </c>
      <c r="D145" s="9" t="s">
        <v>32</v>
      </c>
      <c r="E145" s="9" t="s">
        <v>33</v>
      </c>
      <c r="F145" s="9" t="s">
        <v>34</v>
      </c>
      <c r="G145" s="9" t="s">
        <v>3</v>
      </c>
      <c r="H145" s="9" t="s">
        <v>35</v>
      </c>
      <c r="I145" s="3" t="s">
        <v>36</v>
      </c>
      <c r="J145" s="9" t="s">
        <v>37</v>
      </c>
      <c r="K145" s="9" t="s">
        <v>38</v>
      </c>
      <c r="L145" s="9" t="s">
        <v>39</v>
      </c>
      <c r="M145" s="9" t="s">
        <v>40</v>
      </c>
      <c r="N145" s="9" t="s">
        <v>41</v>
      </c>
      <c r="O145" s="9" t="s">
        <v>42</v>
      </c>
      <c r="P145" s="9" t="s">
        <v>43</v>
      </c>
    </row>
    <row r="146" spans="1:16">
      <c r="A146" s="40" t="s">
        <v>818</v>
      </c>
      <c r="B146" s="5"/>
      <c r="C146" s="51" t="s">
        <v>1188</v>
      </c>
      <c r="D146" s="8"/>
      <c r="E146" s="8"/>
      <c r="F146" s="5" t="s">
        <v>819</v>
      </c>
      <c r="G146" s="51" t="s">
        <v>820</v>
      </c>
      <c r="H146" s="51"/>
      <c r="I146" s="51" t="s">
        <v>49</v>
      </c>
      <c r="J146" s="4" t="s">
        <v>821</v>
      </c>
      <c r="K146" s="90"/>
      <c r="L146" s="59"/>
      <c r="M146" s="14" t="s">
        <v>817</v>
      </c>
      <c r="N146" s="5"/>
      <c r="O146" s="2" t="s">
        <v>1192</v>
      </c>
      <c r="P146" s="14"/>
    </row>
    <row r="147" spans="1:16">
      <c r="A147" s="40" t="s">
        <v>822</v>
      </c>
      <c r="B147" s="5"/>
      <c r="C147" s="51"/>
      <c r="D147" s="8"/>
      <c r="E147" s="8"/>
      <c r="F147" s="5"/>
      <c r="G147" s="51"/>
      <c r="H147" s="4"/>
      <c r="I147" s="51" t="s">
        <v>49</v>
      </c>
      <c r="J147" s="4"/>
      <c r="K147" s="90"/>
      <c r="L147" s="59"/>
      <c r="M147" s="14" t="s">
        <v>817</v>
      </c>
      <c r="N147" s="5"/>
      <c r="O147" s="5" t="s">
        <v>1192</v>
      </c>
      <c r="P147" s="14"/>
    </row>
    <row r="148" spans="1:16">
      <c r="A148" s="40" t="s">
        <v>250</v>
      </c>
      <c r="B148" s="5"/>
      <c r="C148" s="51" t="s">
        <v>1188</v>
      </c>
      <c r="D148" s="8"/>
      <c r="E148" s="8"/>
      <c r="F148" s="5" t="s">
        <v>823</v>
      </c>
      <c r="G148" s="51" t="s">
        <v>824</v>
      </c>
      <c r="H148" s="51"/>
      <c r="I148" s="51" t="s">
        <v>49</v>
      </c>
      <c r="J148" s="4" t="s">
        <v>825</v>
      </c>
      <c r="K148" s="90"/>
      <c r="L148" s="59"/>
      <c r="M148" s="14" t="s">
        <v>817</v>
      </c>
      <c r="N148" s="5"/>
      <c r="O148" s="5" t="s">
        <v>1192</v>
      </c>
      <c r="P148" s="14"/>
    </row>
    <row r="149" spans="1:16">
      <c r="A149" s="40" t="s">
        <v>826</v>
      </c>
      <c r="B149" s="5"/>
      <c r="C149" s="51" t="s">
        <v>1188</v>
      </c>
      <c r="D149" s="8"/>
      <c r="E149" s="8"/>
      <c r="F149" s="5" t="s">
        <v>823</v>
      </c>
      <c r="G149" s="51" t="s">
        <v>824</v>
      </c>
      <c r="H149" s="51"/>
      <c r="I149" s="51" t="s">
        <v>49</v>
      </c>
      <c r="J149" s="4" t="s">
        <v>827</v>
      </c>
      <c r="K149" s="90"/>
      <c r="L149" s="59"/>
      <c r="M149" s="14" t="s">
        <v>817</v>
      </c>
      <c r="N149" s="5"/>
      <c r="O149" s="5" t="s">
        <v>1192</v>
      </c>
      <c r="P149" s="14"/>
    </row>
    <row r="150" spans="1:16">
      <c r="A150" s="40" t="s">
        <v>828</v>
      </c>
      <c r="B150" s="5"/>
      <c r="C150" s="51"/>
      <c r="D150" s="8"/>
      <c r="E150" s="8"/>
      <c r="F150" s="5"/>
      <c r="G150" s="51"/>
      <c r="H150" s="4"/>
      <c r="I150" s="51" t="s">
        <v>49</v>
      </c>
      <c r="J150" s="4"/>
      <c r="K150" s="90"/>
      <c r="L150" s="59"/>
      <c r="M150" s="14" t="s">
        <v>817</v>
      </c>
      <c r="N150" s="5"/>
      <c r="O150" s="5" t="s">
        <v>1192</v>
      </c>
      <c r="P150" s="14"/>
    </row>
    <row r="151" spans="1:16">
      <c r="A151" s="40" t="s">
        <v>829</v>
      </c>
      <c r="B151" s="5"/>
      <c r="C151" s="5" t="str">
        <f>C11</f>
        <v>Mean</v>
      </c>
      <c r="D151" s="8"/>
      <c r="E151" s="8"/>
      <c r="F151" s="5" t="str">
        <f>F11</f>
        <v>[1.01,1.022],
[1.003,1.040]</v>
      </c>
      <c r="G151" s="5" t="str">
        <f>G11</f>
        <v>valtin1995renal,
walker1990clinical</v>
      </c>
      <c r="H151" s="5" t="str">
        <f>H11</f>
        <v>Valtin &amp; Shaffer p.291</v>
      </c>
      <c r="I151" s="51" t="s">
        <v>49</v>
      </c>
      <c r="J151" s="4"/>
      <c r="K151" s="90"/>
      <c r="L151" s="59"/>
      <c r="M151" s="14" t="s">
        <v>817</v>
      </c>
      <c r="N151" s="5"/>
      <c r="O151" s="5" t="s">
        <v>1192</v>
      </c>
      <c r="P151" s="14"/>
    </row>
    <row r="152" spans="1:16">
      <c r="A152" s="40" t="s">
        <v>830</v>
      </c>
      <c r="B152" s="5"/>
      <c r="C152" s="51" t="s">
        <v>1188</v>
      </c>
      <c r="D152" s="8"/>
      <c r="E152" s="8"/>
      <c r="F152" s="5" t="s">
        <v>823</v>
      </c>
      <c r="G152" s="51" t="s">
        <v>824</v>
      </c>
      <c r="H152" s="51"/>
      <c r="I152" s="51" t="s">
        <v>49</v>
      </c>
      <c r="J152" s="4" t="s">
        <v>831</v>
      </c>
      <c r="K152" s="90"/>
      <c r="L152" s="59"/>
      <c r="M152" s="14" t="s">
        <v>817</v>
      </c>
      <c r="N152" s="5"/>
      <c r="O152" s="5" t="s">
        <v>1192</v>
      </c>
      <c r="P152" s="14"/>
    </row>
    <row r="153" spans="1:16">
      <c r="A153" s="40" t="s">
        <v>832</v>
      </c>
      <c r="B153" s="5"/>
      <c r="C153" s="51"/>
      <c r="D153" s="8"/>
      <c r="E153" s="8"/>
      <c r="F153" s="5"/>
      <c r="G153" s="51"/>
      <c r="H153" s="4"/>
      <c r="I153" s="51" t="s">
        <v>49</v>
      </c>
      <c r="J153" s="4"/>
      <c r="K153" s="90"/>
      <c r="L153" s="59"/>
      <c r="M153" s="14" t="s">
        <v>817</v>
      </c>
      <c r="N153" s="5"/>
      <c r="O153" s="5" t="s">
        <v>1192</v>
      </c>
      <c r="P153" s="14"/>
    </row>
    <row r="154" spans="1:16">
      <c r="A154" s="40" t="s">
        <v>833</v>
      </c>
      <c r="B154" s="5"/>
      <c r="C154" s="51" t="s">
        <v>1188</v>
      </c>
      <c r="D154" s="8"/>
      <c r="E154" s="8"/>
      <c r="F154" s="5" t="s">
        <v>823</v>
      </c>
      <c r="G154" s="51" t="s">
        <v>824</v>
      </c>
      <c r="H154" s="51"/>
      <c r="I154" s="51" t="s">
        <v>49</v>
      </c>
      <c r="J154" s="4" t="s">
        <v>834</v>
      </c>
      <c r="K154" s="90"/>
      <c r="L154" s="59"/>
      <c r="M154" s="14" t="s">
        <v>817</v>
      </c>
      <c r="N154" s="5"/>
      <c r="O154" s="5" t="s">
        <v>1192</v>
      </c>
      <c r="P154" s="14"/>
    </row>
    <row r="155" spans="1:16">
      <c r="A155" s="40" t="s">
        <v>835</v>
      </c>
      <c r="B155" s="5"/>
      <c r="C155" s="51"/>
      <c r="D155" s="8"/>
      <c r="E155" s="8"/>
      <c r="F155" s="5"/>
      <c r="G155" s="51"/>
      <c r="H155" s="4"/>
      <c r="I155" s="51" t="s">
        <v>49</v>
      </c>
      <c r="J155" s="4"/>
      <c r="K155" s="90"/>
      <c r="L155" s="59"/>
      <c r="M155" s="14" t="s">
        <v>817</v>
      </c>
      <c r="N155" s="5"/>
      <c r="O155" s="5" t="s">
        <v>1192</v>
      </c>
      <c r="P155" s="14"/>
    </row>
    <row r="156" spans="1:16">
      <c r="A156" s="40" t="s">
        <v>836</v>
      </c>
      <c r="B156" s="5"/>
      <c r="C156" s="51"/>
      <c r="D156" s="8"/>
      <c r="E156" s="8"/>
      <c r="F156" s="5"/>
      <c r="G156" s="51"/>
      <c r="H156" s="4"/>
      <c r="I156" s="51" t="s">
        <v>49</v>
      </c>
      <c r="J156" s="4"/>
      <c r="K156" s="90"/>
      <c r="L156" s="59"/>
      <c r="M156" s="14" t="s">
        <v>817</v>
      </c>
      <c r="N156" s="5"/>
      <c r="O156" s="5" t="s">
        <v>1192</v>
      </c>
      <c r="P156" s="14"/>
    </row>
    <row r="157" spans="1:16">
      <c r="A157" s="40" t="s">
        <v>837</v>
      </c>
      <c r="B157" s="5"/>
      <c r="C157" s="51"/>
      <c r="D157" s="8"/>
      <c r="E157" s="8"/>
      <c r="F157" s="5"/>
      <c r="G157" s="51"/>
      <c r="H157" s="4"/>
      <c r="I157" s="51" t="s">
        <v>49</v>
      </c>
      <c r="J157" s="4"/>
      <c r="K157" s="90"/>
      <c r="L157" s="59"/>
      <c r="M157" s="14" t="s">
        <v>817</v>
      </c>
      <c r="N157" s="5"/>
      <c r="O157" s="5" t="s">
        <v>1192</v>
      </c>
      <c r="P157" s="14"/>
    </row>
  </sheetData>
  <hyperlinks>
    <hyperlink ref="O146" r:id="rId1" xr:uid="{ACEE4951-A805-4DF5-AF77-5EE748E73728}"/>
    <hyperlink ref="O147:O157" r:id="rId2" display="Urinalysis@120s" xr:uid="{FD5A0811-DF6D-4B89-8633-95268597002B}"/>
  </hyperlinks>
  <pageMargins left="0.7" right="0.7" top="0.75" bottom="0.75"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06"/>
  <sheetViews>
    <sheetView topLeftCell="A21" zoomScaleNormal="100" workbookViewId="0">
      <pane xSplit="1" topLeftCell="B1" activePane="topRight" state="frozen"/>
      <selection pane="topRight" activeCell="K43" sqref="K43"/>
    </sheetView>
  </sheetViews>
  <sheetFormatPr defaultColWidth="9.140625" defaultRowHeight="15"/>
  <cols>
    <col min="1" max="1" width="44.42578125" customWidth="1"/>
    <col min="2" max="2" width="16.7109375" style="2" customWidth="1"/>
    <col min="3" max="5" width="30" style="2" customWidth="1"/>
    <col min="6" max="6" width="18.5703125" style="2" customWidth="1"/>
    <col min="7" max="7" width="20" style="46" customWidth="1"/>
    <col min="8" max="8" width="27.28515625" style="46" customWidth="1"/>
    <col min="9" max="9" width="11.42578125" style="46" customWidth="1"/>
    <col min="10" max="10" width="24" style="46" customWidth="1"/>
    <col min="11" max="11" width="39.7109375" style="2" customWidth="1"/>
    <col min="12" max="12" width="52" style="1" customWidth="1"/>
    <col min="13" max="13" width="24.7109375" style="64" customWidth="1"/>
    <col min="14" max="14" width="12.5703125" style="1" customWidth="1"/>
    <col min="15" max="15" width="18.5703125" style="64" customWidth="1"/>
    <col min="16" max="16" width="9.140625" style="64"/>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10" t="s">
        <v>838</v>
      </c>
      <c r="B2" s="26" t="s">
        <v>839</v>
      </c>
      <c r="C2" s="51" t="s">
        <v>46</v>
      </c>
      <c r="D2" s="51"/>
      <c r="E2" s="51"/>
      <c r="F2" s="6">
        <v>1033.23</v>
      </c>
      <c r="G2" s="17" t="s">
        <v>840</v>
      </c>
      <c r="H2" s="17"/>
      <c r="I2" s="17"/>
      <c r="J2" s="17" t="s">
        <v>841</v>
      </c>
      <c r="K2" s="26"/>
      <c r="L2" s="91"/>
      <c r="M2" s="66" t="s">
        <v>842</v>
      </c>
      <c r="N2" s="5" t="s">
        <v>101</v>
      </c>
      <c r="O2" s="14" t="s">
        <v>52</v>
      </c>
      <c r="P2" s="14">
        <v>4</v>
      </c>
    </row>
    <row r="3" spans="1:16" ht="36">
      <c r="A3" s="10" t="s">
        <v>843</v>
      </c>
      <c r="B3" s="17" t="s">
        <v>200</v>
      </c>
      <c r="C3" s="51" t="s">
        <v>46</v>
      </c>
      <c r="D3" s="51"/>
      <c r="E3" s="51"/>
      <c r="F3" s="51" t="s">
        <v>844</v>
      </c>
      <c r="G3" s="8" t="s">
        <v>845</v>
      </c>
      <c r="H3" s="17"/>
      <c r="I3" s="17" t="s">
        <v>49</v>
      </c>
      <c r="J3" s="17"/>
      <c r="K3" s="26" t="s">
        <v>846</v>
      </c>
      <c r="L3" s="92"/>
      <c r="M3" s="66" t="s">
        <v>842</v>
      </c>
      <c r="N3" s="5" t="s">
        <v>847</v>
      </c>
      <c r="O3" s="14" t="s">
        <v>52</v>
      </c>
      <c r="P3" s="14">
        <v>4</v>
      </c>
    </row>
    <row r="4" spans="1:16" ht="36">
      <c r="A4" s="10" t="s">
        <v>848</v>
      </c>
      <c r="B4" s="17" t="s">
        <v>17</v>
      </c>
      <c r="C4" s="51" t="s">
        <v>849</v>
      </c>
      <c r="D4" s="51"/>
      <c r="E4" s="51"/>
      <c r="F4" s="51">
        <v>1.2999999999999999E-2</v>
      </c>
      <c r="G4" s="17" t="s">
        <v>104</v>
      </c>
      <c r="H4" s="17" t="s">
        <v>850</v>
      </c>
      <c r="I4" s="17" t="s">
        <v>49</v>
      </c>
      <c r="J4" s="17" t="s">
        <v>851</v>
      </c>
      <c r="K4" s="26" t="s">
        <v>852</v>
      </c>
      <c r="L4" s="92"/>
      <c r="M4" s="66" t="s">
        <v>842</v>
      </c>
      <c r="N4" s="5" t="s">
        <v>101</v>
      </c>
      <c r="O4" s="14" t="s">
        <v>52</v>
      </c>
      <c r="P4" s="14">
        <v>4</v>
      </c>
    </row>
    <row r="5" spans="1:16">
      <c r="A5" s="10" t="s">
        <v>853</v>
      </c>
      <c r="B5" s="17" t="s">
        <v>17</v>
      </c>
      <c r="C5" s="51" t="s">
        <v>849</v>
      </c>
      <c r="D5" s="51"/>
      <c r="E5" s="51"/>
      <c r="F5" s="51">
        <v>2</v>
      </c>
      <c r="G5" s="17" t="s">
        <v>104</v>
      </c>
      <c r="H5" s="17" t="s">
        <v>854</v>
      </c>
      <c r="I5" s="17" t="s">
        <v>49</v>
      </c>
      <c r="J5" s="17" t="s">
        <v>855</v>
      </c>
      <c r="K5" s="26"/>
      <c r="L5" s="92"/>
      <c r="M5" s="66" t="s">
        <v>842</v>
      </c>
      <c r="N5" s="5" t="s">
        <v>101</v>
      </c>
      <c r="O5" s="14" t="s">
        <v>52</v>
      </c>
      <c r="P5" s="14">
        <v>4</v>
      </c>
    </row>
    <row r="6" spans="1:16">
      <c r="A6" s="10" t="s">
        <v>856</v>
      </c>
      <c r="B6" s="17" t="s">
        <v>857</v>
      </c>
      <c r="C6" s="51" t="s">
        <v>46</v>
      </c>
      <c r="D6" s="51"/>
      <c r="E6" s="51"/>
      <c r="F6" s="93">
        <v>0.2</v>
      </c>
      <c r="G6" s="17" t="s">
        <v>104</v>
      </c>
      <c r="H6" s="17" t="s">
        <v>858</v>
      </c>
      <c r="I6" s="17" t="s">
        <v>49</v>
      </c>
      <c r="J6" s="17"/>
      <c r="K6" s="26"/>
      <c r="L6" s="91"/>
      <c r="M6" s="66" t="s">
        <v>842</v>
      </c>
      <c r="N6" s="5" t="s">
        <v>101</v>
      </c>
      <c r="O6" s="14" t="s">
        <v>52</v>
      </c>
      <c r="P6" s="14">
        <v>4</v>
      </c>
    </row>
    <row r="7" spans="1:16">
      <c r="A7" s="48" t="s">
        <v>859</v>
      </c>
      <c r="B7" s="17" t="s">
        <v>860</v>
      </c>
      <c r="C7" s="51"/>
      <c r="D7" s="51"/>
      <c r="E7" s="51"/>
      <c r="F7" s="51"/>
      <c r="G7" s="17"/>
      <c r="H7" s="17"/>
      <c r="I7" s="17"/>
      <c r="J7" s="17"/>
      <c r="K7" s="26"/>
      <c r="L7" s="91"/>
      <c r="M7" s="66" t="s">
        <v>842</v>
      </c>
      <c r="N7" s="5" t="s">
        <v>101</v>
      </c>
      <c r="O7" s="14" t="s">
        <v>52</v>
      </c>
      <c r="P7" s="14">
        <v>4</v>
      </c>
    </row>
    <row r="8" spans="1:16">
      <c r="A8" s="48" t="s">
        <v>861</v>
      </c>
      <c r="B8" s="17"/>
      <c r="C8" s="20"/>
      <c r="D8" s="20"/>
      <c r="E8" s="20"/>
      <c r="F8" s="51"/>
      <c r="G8" s="17"/>
      <c r="H8" s="17"/>
      <c r="I8" s="17"/>
      <c r="J8" s="17"/>
      <c r="K8" s="26"/>
      <c r="L8" s="92"/>
      <c r="M8" s="66" t="s">
        <v>842</v>
      </c>
      <c r="N8" s="5" t="s">
        <v>847</v>
      </c>
      <c r="O8" s="14" t="s">
        <v>52</v>
      </c>
      <c r="P8" s="14">
        <v>4</v>
      </c>
    </row>
    <row r="9" spans="1:16">
      <c r="A9" s="10" t="s">
        <v>862</v>
      </c>
      <c r="B9" s="17" t="s">
        <v>200</v>
      </c>
      <c r="C9" s="20" t="s">
        <v>46</v>
      </c>
      <c r="D9" s="20"/>
      <c r="E9" s="20"/>
      <c r="F9" s="51" t="s">
        <v>863</v>
      </c>
      <c r="G9" s="17" t="s">
        <v>104</v>
      </c>
      <c r="H9" s="17" t="s">
        <v>864</v>
      </c>
      <c r="I9" s="17" t="s">
        <v>49</v>
      </c>
      <c r="J9" s="17"/>
      <c r="K9" s="26"/>
      <c r="L9" s="92"/>
      <c r="M9" s="66" t="s">
        <v>842</v>
      </c>
      <c r="N9" s="5" t="s">
        <v>101</v>
      </c>
      <c r="O9" s="14" t="s">
        <v>52</v>
      </c>
      <c r="P9" s="14">
        <v>4</v>
      </c>
    </row>
    <row r="10" spans="1:16">
      <c r="A10" s="48" t="s">
        <v>865</v>
      </c>
      <c r="B10" s="17"/>
      <c r="C10" s="51"/>
      <c r="D10" s="51"/>
      <c r="E10" s="51"/>
      <c r="F10" s="51"/>
      <c r="G10" s="17"/>
      <c r="H10" s="17"/>
      <c r="I10" s="17"/>
      <c r="J10" s="17"/>
      <c r="K10" s="26"/>
      <c r="L10" s="92"/>
      <c r="M10" s="66" t="s">
        <v>842</v>
      </c>
      <c r="N10" s="5" t="s">
        <v>101</v>
      </c>
      <c r="O10" s="14" t="s">
        <v>52</v>
      </c>
      <c r="P10" s="14">
        <v>4</v>
      </c>
    </row>
    <row r="11" spans="1:16">
      <c r="A11" s="48" t="s">
        <v>866</v>
      </c>
      <c r="B11" s="17"/>
      <c r="C11" s="51"/>
      <c r="D11" s="51"/>
      <c r="E11" s="51"/>
      <c r="F11" s="51"/>
      <c r="G11" s="17"/>
      <c r="H11" s="17"/>
      <c r="I11" s="17"/>
      <c r="J11" s="17"/>
      <c r="K11" s="26"/>
      <c r="L11" s="92"/>
      <c r="M11" s="66" t="s">
        <v>842</v>
      </c>
      <c r="N11" s="5" t="s">
        <v>101</v>
      </c>
      <c r="O11" s="14" t="s">
        <v>52</v>
      </c>
      <c r="P11" s="14">
        <v>4</v>
      </c>
    </row>
    <row r="12" spans="1:16">
      <c r="A12" s="10" t="s">
        <v>1181</v>
      </c>
      <c r="B12" s="18" t="s">
        <v>839</v>
      </c>
      <c r="C12" s="20" t="s">
        <v>379</v>
      </c>
      <c r="D12" s="20"/>
      <c r="E12" s="20"/>
      <c r="F12" s="98">
        <v>0</v>
      </c>
      <c r="G12" s="17" t="s">
        <v>15</v>
      </c>
      <c r="H12" s="8"/>
      <c r="I12" s="17" t="s">
        <v>49</v>
      </c>
      <c r="J12" s="17"/>
      <c r="K12" s="26"/>
      <c r="L12" s="91"/>
      <c r="M12" s="66" t="s">
        <v>842</v>
      </c>
      <c r="N12" s="5" t="s">
        <v>101</v>
      </c>
      <c r="O12" s="14" t="s">
        <v>52</v>
      </c>
      <c r="P12" s="14">
        <v>4</v>
      </c>
    </row>
    <row r="13" spans="1:16" ht="15.75" customHeight="1">
      <c r="A13" s="10" t="s">
        <v>867</v>
      </c>
      <c r="B13" s="18" t="s">
        <v>868</v>
      </c>
      <c r="C13" s="20" t="s">
        <v>382</v>
      </c>
      <c r="D13" s="20"/>
      <c r="E13" s="20"/>
      <c r="F13" s="94">
        <v>0.44</v>
      </c>
      <c r="G13" s="17" t="s">
        <v>869</v>
      </c>
      <c r="H13" s="8" t="s">
        <v>870</v>
      </c>
      <c r="I13" s="17" t="s">
        <v>49</v>
      </c>
      <c r="J13" s="17"/>
      <c r="K13" s="26"/>
      <c r="L13" s="91"/>
      <c r="M13" s="66" t="s">
        <v>842</v>
      </c>
      <c r="N13" s="5" t="s">
        <v>101</v>
      </c>
      <c r="O13" s="14" t="s">
        <v>52</v>
      </c>
      <c r="P13" s="14">
        <v>4</v>
      </c>
    </row>
    <row r="14" spans="1:16">
      <c r="A14" s="10" t="s">
        <v>1176</v>
      </c>
      <c r="B14" s="17" t="s">
        <v>871</v>
      </c>
      <c r="C14" s="51" t="s">
        <v>46</v>
      </c>
      <c r="D14" s="51"/>
      <c r="E14" s="51"/>
      <c r="F14" s="51" t="s">
        <v>872</v>
      </c>
      <c r="G14" s="17" t="s">
        <v>840</v>
      </c>
      <c r="H14" s="17" t="s">
        <v>873</v>
      </c>
      <c r="I14" s="17" t="s">
        <v>49</v>
      </c>
      <c r="J14" s="17"/>
      <c r="K14" s="26"/>
      <c r="L14" s="95"/>
      <c r="M14" s="66" t="s">
        <v>842</v>
      </c>
      <c r="N14" s="5" t="s">
        <v>101</v>
      </c>
      <c r="O14" s="14" t="s">
        <v>52</v>
      </c>
      <c r="P14" s="14">
        <v>4</v>
      </c>
    </row>
    <row r="15" spans="1:16">
      <c r="A15" s="10" t="s">
        <v>874</v>
      </c>
      <c r="B15" s="17" t="s">
        <v>17</v>
      </c>
      <c r="C15" s="51" t="s">
        <v>849</v>
      </c>
      <c r="D15" s="51"/>
      <c r="E15" s="51"/>
      <c r="F15" s="51">
        <v>7</v>
      </c>
      <c r="G15" s="17" t="s">
        <v>104</v>
      </c>
      <c r="H15" s="8" t="s">
        <v>875</v>
      </c>
      <c r="I15" s="17" t="s">
        <v>49</v>
      </c>
      <c r="J15" s="17"/>
      <c r="K15" s="26"/>
      <c r="L15" s="91"/>
      <c r="M15" s="66" t="s">
        <v>842</v>
      </c>
      <c r="N15" s="5" t="s">
        <v>847</v>
      </c>
      <c r="O15" s="14" t="s">
        <v>52</v>
      </c>
      <c r="P15" s="14">
        <v>4</v>
      </c>
    </row>
    <row r="16" spans="1:16">
      <c r="A16" s="10" t="s">
        <v>876</v>
      </c>
      <c r="B16" s="17"/>
      <c r="C16" s="51" t="s">
        <v>46</v>
      </c>
      <c r="D16" s="51"/>
      <c r="E16" s="51"/>
      <c r="F16" s="51">
        <v>0.21</v>
      </c>
      <c r="G16" s="17" t="s">
        <v>15</v>
      </c>
      <c r="H16" s="17"/>
      <c r="I16" s="17" t="s">
        <v>49</v>
      </c>
      <c r="J16" s="17"/>
      <c r="K16" s="26"/>
      <c r="L16" s="95"/>
      <c r="M16" s="66" t="s">
        <v>842</v>
      </c>
      <c r="N16" s="5" t="s">
        <v>101</v>
      </c>
      <c r="O16" s="14" t="s">
        <v>52</v>
      </c>
      <c r="P16" s="14">
        <v>4</v>
      </c>
    </row>
    <row r="17" spans="1:16">
      <c r="A17" s="10" t="s">
        <v>877</v>
      </c>
      <c r="B17" s="17" t="s">
        <v>200</v>
      </c>
      <c r="C17" s="51" t="s">
        <v>46</v>
      </c>
      <c r="D17" s="51"/>
      <c r="E17" s="51"/>
      <c r="F17" s="51">
        <v>452</v>
      </c>
      <c r="G17" s="8" t="s">
        <v>15</v>
      </c>
      <c r="H17" s="17" t="s">
        <v>878</v>
      </c>
      <c r="I17" s="17" t="s">
        <v>49</v>
      </c>
      <c r="J17" s="17" t="s">
        <v>879</v>
      </c>
      <c r="K17" s="26"/>
      <c r="L17" s="92"/>
      <c r="M17" s="66" t="s">
        <v>842</v>
      </c>
      <c r="N17" s="5" t="s">
        <v>101</v>
      </c>
      <c r="O17" s="14" t="s">
        <v>52</v>
      </c>
      <c r="P17" s="14">
        <v>4</v>
      </c>
    </row>
    <row r="18" spans="1:16">
      <c r="A18" s="48" t="s">
        <v>880</v>
      </c>
      <c r="B18" s="17" t="s">
        <v>881</v>
      </c>
      <c r="C18" s="51"/>
      <c r="D18" s="51"/>
      <c r="E18" s="51"/>
      <c r="F18" s="51"/>
      <c r="G18" s="17"/>
      <c r="H18" s="17"/>
      <c r="I18" s="17"/>
      <c r="J18" s="17"/>
      <c r="K18" s="26"/>
      <c r="L18" s="91"/>
      <c r="M18" s="66" t="s">
        <v>842</v>
      </c>
      <c r="N18" s="5" t="s">
        <v>101</v>
      </c>
      <c r="O18" s="14" t="s">
        <v>52</v>
      </c>
      <c r="P18" s="14">
        <v>4</v>
      </c>
    </row>
    <row r="19" spans="1:16">
      <c r="A19" s="48" t="s">
        <v>882</v>
      </c>
      <c r="B19" s="17" t="s">
        <v>860</v>
      </c>
      <c r="C19" s="51"/>
      <c r="D19" s="51"/>
      <c r="E19" s="51"/>
      <c r="F19" s="51"/>
      <c r="G19" s="17"/>
      <c r="H19" s="17"/>
      <c r="I19" s="17"/>
      <c r="J19" s="17"/>
      <c r="K19" s="26"/>
      <c r="L19" s="91"/>
      <c r="M19" s="66" t="s">
        <v>842</v>
      </c>
      <c r="N19" s="5" t="s">
        <v>101</v>
      </c>
      <c r="O19" s="14" t="s">
        <v>52</v>
      </c>
      <c r="P19" s="14">
        <v>4</v>
      </c>
    </row>
    <row r="20" spans="1:16">
      <c r="A20" s="10" t="s">
        <v>883</v>
      </c>
      <c r="B20" s="17"/>
      <c r="C20" s="51" t="s">
        <v>46</v>
      </c>
      <c r="D20" s="51"/>
      <c r="E20" s="51"/>
      <c r="F20" s="51" t="s">
        <v>884</v>
      </c>
      <c r="G20" s="17" t="s">
        <v>104</v>
      </c>
      <c r="H20" s="17" t="s">
        <v>885</v>
      </c>
      <c r="I20" s="17" t="s">
        <v>49</v>
      </c>
      <c r="J20" s="17"/>
      <c r="K20" s="26" t="s">
        <v>886</v>
      </c>
      <c r="L20" s="95"/>
      <c r="M20" s="66" t="s">
        <v>842</v>
      </c>
      <c r="N20" s="5" t="s">
        <v>101</v>
      </c>
      <c r="O20" s="14" t="s">
        <v>52</v>
      </c>
      <c r="P20" s="14">
        <v>4</v>
      </c>
    </row>
    <row r="21" spans="1:16">
      <c r="A21" s="10" t="s">
        <v>887</v>
      </c>
      <c r="B21" s="18" t="s">
        <v>868</v>
      </c>
      <c r="C21" s="20" t="s">
        <v>382</v>
      </c>
      <c r="D21" s="20"/>
      <c r="E21" s="20"/>
      <c r="F21" s="96">
        <v>0.4</v>
      </c>
      <c r="G21" s="17" t="s">
        <v>869</v>
      </c>
      <c r="H21" s="8" t="s">
        <v>870</v>
      </c>
      <c r="I21" s="17" t="s">
        <v>569</v>
      </c>
      <c r="J21" s="17"/>
      <c r="K21" s="26"/>
      <c r="L21" s="91"/>
      <c r="M21" s="66" t="s">
        <v>842</v>
      </c>
      <c r="N21" s="5" t="s">
        <v>101</v>
      </c>
      <c r="O21" s="14" t="s">
        <v>52</v>
      </c>
      <c r="P21" s="14">
        <v>4</v>
      </c>
    </row>
    <row r="22" spans="1:16">
      <c r="A22" s="10" t="s">
        <v>1177</v>
      </c>
      <c r="B22" s="17" t="s">
        <v>871</v>
      </c>
      <c r="C22" s="51" t="s">
        <v>46</v>
      </c>
      <c r="D22" s="51"/>
      <c r="E22" s="51"/>
      <c r="F22" s="51" t="s">
        <v>872</v>
      </c>
      <c r="G22" s="17" t="s">
        <v>840</v>
      </c>
      <c r="H22" s="17" t="s">
        <v>873</v>
      </c>
      <c r="I22" s="17" t="s">
        <v>49</v>
      </c>
      <c r="J22" s="17"/>
      <c r="K22" s="26"/>
      <c r="L22" s="95"/>
      <c r="M22" s="66" t="s">
        <v>842</v>
      </c>
      <c r="N22" s="5" t="s">
        <v>101</v>
      </c>
      <c r="O22" s="14" t="s">
        <v>52</v>
      </c>
      <c r="P22" s="14">
        <v>4</v>
      </c>
    </row>
    <row r="23" spans="1:16">
      <c r="A23" s="10" t="s">
        <v>888</v>
      </c>
      <c r="B23" s="17" t="s">
        <v>17</v>
      </c>
      <c r="C23" s="51" t="s">
        <v>849</v>
      </c>
      <c r="D23" s="51"/>
      <c r="E23" s="51"/>
      <c r="F23" s="51">
        <v>7</v>
      </c>
      <c r="G23" s="17" t="s">
        <v>104</v>
      </c>
      <c r="H23" s="8" t="s">
        <v>875</v>
      </c>
      <c r="I23" s="17" t="s">
        <v>49</v>
      </c>
      <c r="J23" s="17"/>
      <c r="K23" s="26"/>
      <c r="L23" s="91"/>
      <c r="M23" s="66" t="s">
        <v>842</v>
      </c>
      <c r="N23" s="5" t="s">
        <v>847</v>
      </c>
      <c r="O23" s="14" t="s">
        <v>52</v>
      </c>
      <c r="P23" s="14">
        <v>4</v>
      </c>
    </row>
    <row r="24" spans="1:16">
      <c r="A24" s="10" t="s">
        <v>889</v>
      </c>
      <c r="B24" s="18" t="s">
        <v>839</v>
      </c>
      <c r="C24" s="20" t="s">
        <v>379</v>
      </c>
      <c r="D24" s="20"/>
      <c r="E24" s="20"/>
      <c r="F24" s="97">
        <v>-8</v>
      </c>
      <c r="G24" s="17" t="s">
        <v>104</v>
      </c>
      <c r="H24" s="8" t="s">
        <v>890</v>
      </c>
      <c r="I24" s="17" t="s">
        <v>569</v>
      </c>
      <c r="J24" s="17"/>
      <c r="K24" s="26"/>
      <c r="L24" s="91"/>
      <c r="M24" s="66" t="s">
        <v>842</v>
      </c>
      <c r="N24" s="5" t="s">
        <v>101</v>
      </c>
      <c r="O24" s="14" t="s">
        <v>52</v>
      </c>
      <c r="P24" s="14">
        <v>4</v>
      </c>
    </row>
    <row r="25" spans="1:16">
      <c r="A25" s="10" t="s">
        <v>889</v>
      </c>
      <c r="B25" s="18" t="s">
        <v>839</v>
      </c>
      <c r="C25" s="20" t="s">
        <v>382</v>
      </c>
      <c r="D25" s="20"/>
      <c r="E25" s="20"/>
      <c r="F25" s="97">
        <v>-5</v>
      </c>
      <c r="G25" s="17" t="s">
        <v>104</v>
      </c>
      <c r="H25" s="8" t="s">
        <v>890</v>
      </c>
      <c r="I25" s="17" t="s">
        <v>569</v>
      </c>
      <c r="J25" s="17"/>
      <c r="K25" s="26"/>
      <c r="L25" s="91"/>
      <c r="M25" s="66" t="s">
        <v>842</v>
      </c>
      <c r="N25" s="5" t="s">
        <v>101</v>
      </c>
      <c r="O25" s="14" t="s">
        <v>52</v>
      </c>
      <c r="P25" s="14">
        <v>4</v>
      </c>
    </row>
    <row r="26" spans="1:16">
      <c r="A26" s="10" t="s">
        <v>891</v>
      </c>
      <c r="B26" s="18" t="s">
        <v>839</v>
      </c>
      <c r="C26" s="20" t="s">
        <v>382</v>
      </c>
      <c r="D26" s="20"/>
      <c r="E26" s="20"/>
      <c r="F26" s="98">
        <v>5.4</v>
      </c>
      <c r="G26" s="17" t="s">
        <v>15</v>
      </c>
      <c r="H26" s="8"/>
      <c r="I26" s="17" t="s">
        <v>569</v>
      </c>
      <c r="J26" s="17"/>
      <c r="K26" s="26" t="s">
        <v>892</v>
      </c>
      <c r="L26" s="91"/>
      <c r="M26" s="66" t="s">
        <v>842</v>
      </c>
      <c r="N26" s="5" t="s">
        <v>101</v>
      </c>
      <c r="O26" s="14" t="s">
        <v>52</v>
      </c>
      <c r="P26" s="14">
        <v>4</v>
      </c>
    </row>
    <row r="27" spans="1:16">
      <c r="A27" s="10" t="s">
        <v>891</v>
      </c>
      <c r="B27" s="18" t="s">
        <v>839</v>
      </c>
      <c r="C27" s="20" t="s">
        <v>379</v>
      </c>
      <c r="D27" s="20"/>
      <c r="E27" s="20"/>
      <c r="F27" s="98">
        <v>0</v>
      </c>
      <c r="G27" s="17" t="s">
        <v>15</v>
      </c>
      <c r="H27" s="8"/>
      <c r="I27" s="17" t="s">
        <v>49</v>
      </c>
      <c r="J27" s="17"/>
      <c r="K27" s="26"/>
      <c r="L27" s="91"/>
      <c r="M27" s="66" t="s">
        <v>842</v>
      </c>
      <c r="N27" s="5" t="s">
        <v>101</v>
      </c>
      <c r="O27" s="14" t="s">
        <v>52</v>
      </c>
      <c r="P27" s="14">
        <v>4</v>
      </c>
    </row>
    <row r="28" spans="1:16">
      <c r="A28" s="10" t="s">
        <v>1178</v>
      </c>
      <c r="B28" s="18" t="s">
        <v>839</v>
      </c>
      <c r="C28" s="20" t="s">
        <v>379</v>
      </c>
      <c r="D28" s="20"/>
      <c r="E28" s="20"/>
      <c r="F28" s="98">
        <v>0</v>
      </c>
      <c r="G28" s="17" t="s">
        <v>15</v>
      </c>
      <c r="H28" s="8"/>
      <c r="I28" s="17" t="s">
        <v>49</v>
      </c>
      <c r="J28" s="17"/>
      <c r="K28" s="26"/>
      <c r="L28" s="91"/>
      <c r="M28" s="66" t="s">
        <v>842</v>
      </c>
      <c r="N28" s="5" t="s">
        <v>101</v>
      </c>
      <c r="O28" s="14" t="s">
        <v>52</v>
      </c>
      <c r="P28" s="14">
        <v>4</v>
      </c>
    </row>
    <row r="29" spans="1:16">
      <c r="A29" s="10" t="s">
        <v>893</v>
      </c>
      <c r="B29" s="17" t="s">
        <v>857</v>
      </c>
      <c r="C29" s="51" t="s">
        <v>46</v>
      </c>
      <c r="D29" s="51"/>
      <c r="E29" s="51"/>
      <c r="F29" s="93">
        <v>0.2</v>
      </c>
      <c r="G29" s="17" t="s">
        <v>104</v>
      </c>
      <c r="H29" s="17" t="s">
        <v>858</v>
      </c>
      <c r="I29" s="17" t="s">
        <v>49</v>
      </c>
      <c r="J29" s="17"/>
      <c r="K29" s="26"/>
      <c r="L29" s="91"/>
      <c r="M29" s="66" t="s">
        <v>842</v>
      </c>
      <c r="N29" s="5" t="s">
        <v>101</v>
      </c>
      <c r="O29" s="14" t="s">
        <v>52</v>
      </c>
      <c r="P29" s="14">
        <v>4</v>
      </c>
    </row>
    <row r="30" spans="1:16" ht="60">
      <c r="A30" s="10" t="s">
        <v>894</v>
      </c>
      <c r="B30" s="26" t="s">
        <v>839</v>
      </c>
      <c r="C30" s="51" t="s">
        <v>46</v>
      </c>
      <c r="D30" s="51"/>
      <c r="E30" s="51"/>
      <c r="F30" s="6">
        <v>-1</v>
      </c>
      <c r="G30" s="17" t="s">
        <v>104</v>
      </c>
      <c r="H30" s="17" t="s">
        <v>895</v>
      </c>
      <c r="I30" s="17" t="s">
        <v>569</v>
      </c>
      <c r="J30" s="17"/>
      <c r="K30" s="26" t="s">
        <v>896</v>
      </c>
      <c r="L30" s="91"/>
      <c r="M30" s="66" t="s">
        <v>842</v>
      </c>
      <c r="N30" s="5" t="s">
        <v>101</v>
      </c>
      <c r="O30" s="14" t="s">
        <v>52</v>
      </c>
      <c r="P30" s="14">
        <v>4</v>
      </c>
    </row>
    <row r="31" spans="1:16">
      <c r="A31" s="10" t="s">
        <v>897</v>
      </c>
      <c r="B31" s="26" t="s">
        <v>839</v>
      </c>
      <c r="C31" s="51" t="s">
        <v>46</v>
      </c>
      <c r="D31" s="51"/>
      <c r="E31" s="51"/>
      <c r="F31" s="6">
        <v>0</v>
      </c>
      <c r="G31" s="17" t="s">
        <v>840</v>
      </c>
      <c r="H31" s="17"/>
      <c r="I31" s="17" t="s">
        <v>49</v>
      </c>
      <c r="J31" s="17"/>
      <c r="K31" s="26"/>
      <c r="L31" s="91"/>
      <c r="M31" s="66" t="s">
        <v>842</v>
      </c>
      <c r="N31" s="5" t="s">
        <v>101</v>
      </c>
      <c r="O31" s="14" t="s">
        <v>52</v>
      </c>
      <c r="P31" s="14">
        <v>4</v>
      </c>
    </row>
    <row r="32" spans="1:16">
      <c r="A32" s="10" t="s">
        <v>898</v>
      </c>
      <c r="B32" s="26"/>
      <c r="C32" s="51" t="s">
        <v>46</v>
      </c>
      <c r="D32" s="51"/>
      <c r="E32" s="51"/>
      <c r="F32" s="6">
        <v>0</v>
      </c>
      <c r="G32" s="17" t="s">
        <v>840</v>
      </c>
      <c r="H32" s="17"/>
      <c r="I32" s="17" t="s">
        <v>49</v>
      </c>
      <c r="J32" s="17" t="s">
        <v>899</v>
      </c>
      <c r="K32" s="26"/>
      <c r="L32" s="91"/>
      <c r="M32" s="66" t="s">
        <v>842</v>
      </c>
      <c r="N32" s="5" t="s">
        <v>101</v>
      </c>
      <c r="O32" s="14" t="s">
        <v>52</v>
      </c>
      <c r="P32" s="14">
        <v>4</v>
      </c>
    </row>
    <row r="33" spans="1:16">
      <c r="A33" s="10" t="s">
        <v>900</v>
      </c>
      <c r="B33" s="26" t="s">
        <v>200</v>
      </c>
      <c r="C33" s="51" t="s">
        <v>46</v>
      </c>
      <c r="D33" s="51"/>
      <c r="E33" s="51"/>
      <c r="F33" s="6">
        <v>0</v>
      </c>
      <c r="G33" s="17" t="s">
        <v>840</v>
      </c>
      <c r="H33" s="17"/>
      <c r="I33" s="17" t="s">
        <v>49</v>
      </c>
      <c r="J33" s="17" t="s">
        <v>901</v>
      </c>
      <c r="K33" s="26"/>
      <c r="L33" s="91"/>
      <c r="M33" s="66" t="s">
        <v>842</v>
      </c>
      <c r="N33" s="5" t="s">
        <v>101</v>
      </c>
      <c r="O33" s="14" t="s">
        <v>52</v>
      </c>
      <c r="P33" s="14">
        <v>4</v>
      </c>
    </row>
    <row r="34" spans="1:16">
      <c r="A34" s="48" t="s">
        <v>902</v>
      </c>
      <c r="B34" s="17" t="s">
        <v>881</v>
      </c>
      <c r="C34" s="51"/>
      <c r="D34" s="51"/>
      <c r="E34" s="51"/>
      <c r="F34" s="51"/>
      <c r="G34" s="17"/>
      <c r="H34" s="17"/>
      <c r="I34" s="17"/>
      <c r="J34" s="17"/>
      <c r="K34" s="26"/>
      <c r="L34" s="91"/>
      <c r="M34" s="66" t="s">
        <v>842</v>
      </c>
      <c r="N34" s="5" t="s">
        <v>101</v>
      </c>
      <c r="O34" s="14" t="s">
        <v>52</v>
      </c>
      <c r="P34" s="14">
        <v>4</v>
      </c>
    </row>
    <row r="35" spans="1:16">
      <c r="A35" s="48" t="s">
        <v>903</v>
      </c>
      <c r="B35" s="17" t="s">
        <v>860</v>
      </c>
      <c r="C35" s="51"/>
      <c r="D35" s="51"/>
      <c r="E35" s="51"/>
      <c r="F35" s="51"/>
      <c r="G35" s="17"/>
      <c r="H35" s="17"/>
      <c r="I35" s="17"/>
      <c r="J35" s="17"/>
      <c r="K35" s="26"/>
      <c r="L35" s="91"/>
      <c r="M35" s="66" t="s">
        <v>842</v>
      </c>
      <c r="N35" s="5" t="s">
        <v>101</v>
      </c>
      <c r="O35" s="14" t="s">
        <v>52</v>
      </c>
      <c r="P35" s="14">
        <v>4</v>
      </c>
    </row>
    <row r="36" spans="1:16" ht="24">
      <c r="A36" s="10" t="s">
        <v>904</v>
      </c>
      <c r="B36" s="26" t="s">
        <v>839</v>
      </c>
      <c r="C36" s="51" t="s">
        <v>46</v>
      </c>
      <c r="D36" s="51"/>
      <c r="E36" s="51"/>
      <c r="F36" s="6">
        <v>1</v>
      </c>
      <c r="G36" s="17" t="s">
        <v>104</v>
      </c>
      <c r="H36" s="17"/>
      <c r="I36" s="17" t="s">
        <v>569</v>
      </c>
      <c r="J36" s="17"/>
      <c r="K36" s="26" t="s">
        <v>905</v>
      </c>
      <c r="L36" s="91"/>
      <c r="M36" s="66" t="s">
        <v>842</v>
      </c>
      <c r="N36" s="5" t="s">
        <v>101</v>
      </c>
      <c r="O36" s="14" t="s">
        <v>52</v>
      </c>
      <c r="P36" s="14">
        <v>4</v>
      </c>
    </row>
    <row r="37" spans="1:16" ht="15.75" customHeight="1">
      <c r="A37" s="10" t="s">
        <v>906</v>
      </c>
      <c r="B37" s="26" t="s">
        <v>17</v>
      </c>
      <c r="C37" s="51" t="s">
        <v>849</v>
      </c>
      <c r="D37" s="51"/>
      <c r="E37" s="51"/>
      <c r="F37" s="5">
        <v>2</v>
      </c>
      <c r="G37" s="17" t="s">
        <v>104</v>
      </c>
      <c r="H37" s="8" t="s">
        <v>875</v>
      </c>
      <c r="I37" s="17" t="s">
        <v>49</v>
      </c>
      <c r="J37" s="17"/>
      <c r="K37" s="26"/>
      <c r="L37" s="91"/>
      <c r="M37" s="66" t="s">
        <v>842</v>
      </c>
      <c r="N37" s="5" t="s">
        <v>101</v>
      </c>
      <c r="O37" s="14" t="s">
        <v>52</v>
      </c>
      <c r="P37" s="14">
        <v>4</v>
      </c>
    </row>
    <row r="38" spans="1:16">
      <c r="A38" s="10" t="s">
        <v>907</v>
      </c>
      <c r="B38" s="18"/>
      <c r="C38" s="51" t="s">
        <v>46</v>
      </c>
      <c r="D38" s="20"/>
      <c r="E38" s="20"/>
      <c r="F38" s="51" t="s">
        <v>908</v>
      </c>
      <c r="G38" s="17" t="s">
        <v>909</v>
      </c>
      <c r="H38" s="17"/>
      <c r="I38" s="17" t="s">
        <v>49</v>
      </c>
      <c r="J38" s="17"/>
      <c r="K38" s="26"/>
      <c r="L38" s="91"/>
      <c r="M38" s="66" t="s">
        <v>842</v>
      </c>
      <c r="N38" s="5" t="s">
        <v>101</v>
      </c>
      <c r="O38" s="14" t="s">
        <v>52</v>
      </c>
      <c r="P38" s="14">
        <v>4</v>
      </c>
    </row>
    <row r="39" spans="1:16" ht="96">
      <c r="A39" s="10" t="s">
        <v>1179</v>
      </c>
      <c r="B39" s="17" t="s">
        <v>857</v>
      </c>
      <c r="C39" s="51" t="s">
        <v>46</v>
      </c>
      <c r="D39" s="51"/>
      <c r="E39" s="51"/>
      <c r="F39" s="17" t="s">
        <v>911</v>
      </c>
      <c r="G39" s="17" t="s">
        <v>104</v>
      </c>
      <c r="H39" s="17" t="s">
        <v>912</v>
      </c>
      <c r="I39" s="17" t="s">
        <v>49</v>
      </c>
      <c r="J39" s="17"/>
      <c r="K39" s="26" t="s">
        <v>913</v>
      </c>
      <c r="L39" s="95"/>
      <c r="M39" s="66" t="s">
        <v>842</v>
      </c>
      <c r="N39" s="5" t="s">
        <v>101</v>
      </c>
      <c r="O39" s="14" t="s">
        <v>52</v>
      </c>
      <c r="P39" s="14">
        <v>4</v>
      </c>
    </row>
    <row r="40" spans="1:16">
      <c r="A40" s="10" t="s">
        <v>1180</v>
      </c>
      <c r="B40" s="17" t="s">
        <v>914</v>
      </c>
      <c r="C40" s="51" t="s">
        <v>46</v>
      </c>
      <c r="D40" s="51"/>
      <c r="E40" s="51"/>
      <c r="F40" s="17" t="s">
        <v>915</v>
      </c>
      <c r="G40" s="17" t="s">
        <v>104</v>
      </c>
      <c r="H40" s="17" t="s">
        <v>912</v>
      </c>
      <c r="I40" s="17" t="s">
        <v>49</v>
      </c>
      <c r="J40" s="17"/>
      <c r="K40" s="26" t="s">
        <v>916</v>
      </c>
      <c r="L40" s="95"/>
      <c r="M40" s="66" t="s">
        <v>842</v>
      </c>
      <c r="N40" s="5" t="s">
        <v>101</v>
      </c>
      <c r="O40" s="14" t="s">
        <v>52</v>
      </c>
      <c r="P40" s="14">
        <v>4</v>
      </c>
    </row>
    <row r="41" spans="1:16">
      <c r="A41" s="10" t="s">
        <v>917</v>
      </c>
      <c r="B41" s="18" t="s">
        <v>17</v>
      </c>
      <c r="C41" s="51" t="s">
        <v>984</v>
      </c>
      <c r="D41" s="51"/>
      <c r="E41" s="51"/>
      <c r="F41" s="17">
        <v>7</v>
      </c>
      <c r="G41" s="17" t="s">
        <v>104</v>
      </c>
      <c r="H41" s="8" t="s">
        <v>875</v>
      </c>
      <c r="I41" s="17" t="s">
        <v>49</v>
      </c>
      <c r="J41" s="26" t="s">
        <v>1183</v>
      </c>
      <c r="L41" s="56"/>
      <c r="M41" s="66" t="s">
        <v>842</v>
      </c>
      <c r="N41" s="5" t="s">
        <v>101</v>
      </c>
      <c r="O41" s="14" t="s">
        <v>52</v>
      </c>
      <c r="P41" s="14">
        <v>4</v>
      </c>
    </row>
    <row r="42" spans="1:16">
      <c r="A42" s="48" t="s">
        <v>919</v>
      </c>
      <c r="B42" s="17" t="s">
        <v>860</v>
      </c>
      <c r="C42" s="51"/>
      <c r="D42" s="51"/>
      <c r="E42" s="51"/>
      <c r="F42" s="51"/>
      <c r="G42" s="17"/>
      <c r="H42" s="17"/>
      <c r="I42" s="17"/>
      <c r="J42" s="17"/>
      <c r="K42" s="26"/>
      <c r="L42" s="91"/>
      <c r="M42" s="66" t="s">
        <v>842</v>
      </c>
      <c r="N42" s="5" t="s">
        <v>101</v>
      </c>
      <c r="O42" s="14" t="s">
        <v>52</v>
      </c>
      <c r="P42" s="14">
        <v>4</v>
      </c>
    </row>
    <row r="43" spans="1:16">
      <c r="A43" s="48" t="s">
        <v>920</v>
      </c>
      <c r="B43" s="17" t="s">
        <v>860</v>
      </c>
      <c r="C43" s="51"/>
      <c r="D43" s="51"/>
      <c r="E43" s="51"/>
      <c r="F43" s="51"/>
      <c r="G43" s="17"/>
      <c r="H43" s="17"/>
      <c r="I43" s="17"/>
      <c r="J43" s="17"/>
      <c r="K43" s="26"/>
      <c r="L43" s="91"/>
      <c r="M43" s="66" t="s">
        <v>842</v>
      </c>
      <c r="N43" s="5" t="s">
        <v>101</v>
      </c>
      <c r="O43" s="14" t="s">
        <v>52</v>
      </c>
      <c r="P43" s="14">
        <v>4</v>
      </c>
    </row>
    <row r="44" spans="1:16" ht="36">
      <c r="A44" s="10" t="s">
        <v>921</v>
      </c>
      <c r="B44" s="18" t="s">
        <v>289</v>
      </c>
      <c r="C44" s="51" t="s">
        <v>46</v>
      </c>
      <c r="D44" s="51"/>
      <c r="E44" s="51"/>
      <c r="F44" s="18" t="s">
        <v>922</v>
      </c>
      <c r="G44" s="99" t="s">
        <v>923</v>
      </c>
      <c r="H44" s="8" t="s">
        <v>924</v>
      </c>
      <c r="I44" s="17" t="s">
        <v>49</v>
      </c>
      <c r="J44" s="17"/>
      <c r="K44" s="26"/>
      <c r="L44" s="100"/>
      <c r="M44" s="66" t="s">
        <v>842</v>
      </c>
      <c r="N44" s="5" t="s">
        <v>101</v>
      </c>
      <c r="O44" s="14" t="s">
        <v>52</v>
      </c>
      <c r="P44" s="14">
        <v>4</v>
      </c>
    </row>
    <row r="45" spans="1:16">
      <c r="A45" s="48" t="s">
        <v>925</v>
      </c>
      <c r="B45" s="17"/>
      <c r="C45" s="51" t="s">
        <v>46</v>
      </c>
      <c r="D45" s="51"/>
      <c r="E45" s="51"/>
      <c r="F45" s="51">
        <v>0</v>
      </c>
      <c r="G45" s="17" t="s">
        <v>926</v>
      </c>
      <c r="H45" s="17"/>
      <c r="I45" s="17"/>
      <c r="J45" s="17"/>
      <c r="K45" s="26"/>
      <c r="L45" s="91"/>
      <c r="M45" s="66" t="s">
        <v>842</v>
      </c>
      <c r="N45" s="5" t="s">
        <v>101</v>
      </c>
      <c r="O45" s="14" t="s">
        <v>52</v>
      </c>
      <c r="P45" s="14">
        <v>4</v>
      </c>
    </row>
    <row r="46" spans="1:16">
      <c r="A46" s="48" t="s">
        <v>927</v>
      </c>
      <c r="B46" s="13"/>
      <c r="C46" s="51"/>
      <c r="D46" s="51"/>
      <c r="E46" s="51"/>
      <c r="F46" s="51"/>
      <c r="G46" s="51"/>
      <c r="H46" s="51"/>
      <c r="I46" s="17"/>
      <c r="J46" s="51"/>
      <c r="K46" s="51"/>
      <c r="L46" s="51"/>
      <c r="M46" s="66" t="s">
        <v>842</v>
      </c>
      <c r="N46" s="5" t="s">
        <v>101</v>
      </c>
      <c r="O46" s="14" t="s">
        <v>52</v>
      </c>
      <c r="P46" s="14">
        <v>4</v>
      </c>
    </row>
    <row r="47" spans="1:16">
      <c r="A47" s="10" t="s">
        <v>928</v>
      </c>
      <c r="B47" s="13"/>
      <c r="C47" s="51" t="s">
        <v>46</v>
      </c>
      <c r="D47" s="51"/>
      <c r="E47" s="51"/>
      <c r="F47" s="51">
        <v>4.62</v>
      </c>
      <c r="G47" s="51" t="s">
        <v>15</v>
      </c>
      <c r="H47" s="51"/>
      <c r="I47" s="17" t="s">
        <v>49</v>
      </c>
      <c r="J47" s="51" t="s">
        <v>929</v>
      </c>
      <c r="K47" s="51"/>
      <c r="L47" s="51"/>
      <c r="M47" s="66" t="s">
        <v>842</v>
      </c>
      <c r="N47" s="5" t="s">
        <v>101</v>
      </c>
      <c r="O47" s="14" t="s">
        <v>52</v>
      </c>
      <c r="P47" s="14">
        <v>4</v>
      </c>
    </row>
    <row r="48" spans="1:16" ht="24">
      <c r="A48" s="10" t="s">
        <v>930</v>
      </c>
      <c r="B48" s="17"/>
      <c r="C48" s="51" t="s">
        <v>46</v>
      </c>
      <c r="D48" s="51"/>
      <c r="E48" s="51"/>
      <c r="F48" s="17">
        <v>0.23</v>
      </c>
      <c r="G48" s="17" t="s">
        <v>104</v>
      </c>
      <c r="H48" s="8" t="s">
        <v>875</v>
      </c>
      <c r="I48" s="17" t="s">
        <v>49</v>
      </c>
      <c r="J48" s="17"/>
      <c r="K48" s="26" t="s">
        <v>931</v>
      </c>
      <c r="L48" s="92"/>
      <c r="M48" s="66" t="s">
        <v>842</v>
      </c>
      <c r="N48" s="5" t="s">
        <v>101</v>
      </c>
      <c r="O48" s="14" t="s">
        <v>52</v>
      </c>
      <c r="P48" s="14">
        <v>4</v>
      </c>
    </row>
    <row r="49" spans="1:16">
      <c r="A49" s="10" t="s">
        <v>932</v>
      </c>
      <c r="B49" s="17" t="s">
        <v>17</v>
      </c>
      <c r="C49" s="51" t="s">
        <v>849</v>
      </c>
      <c r="D49" s="51"/>
      <c r="E49" s="51"/>
      <c r="F49" s="51">
        <v>7</v>
      </c>
      <c r="G49" s="17" t="s">
        <v>104</v>
      </c>
      <c r="H49" s="8" t="s">
        <v>875</v>
      </c>
      <c r="I49" s="17" t="s">
        <v>49</v>
      </c>
      <c r="J49" s="17"/>
      <c r="K49" s="26"/>
      <c r="L49" s="91"/>
      <c r="M49" s="66" t="s">
        <v>842</v>
      </c>
      <c r="N49" s="5" t="s">
        <v>847</v>
      </c>
      <c r="O49" s="14" t="s">
        <v>52</v>
      </c>
      <c r="P49" s="14">
        <v>4</v>
      </c>
    </row>
    <row r="50" spans="1:16" ht="24">
      <c r="A50" s="10" t="s">
        <v>933</v>
      </c>
      <c r="B50" s="17" t="s">
        <v>934</v>
      </c>
      <c r="C50" s="51" t="s">
        <v>849</v>
      </c>
      <c r="D50" s="51"/>
      <c r="E50" s="51"/>
      <c r="F50" s="51">
        <v>0.08</v>
      </c>
      <c r="G50" s="17" t="s">
        <v>104</v>
      </c>
      <c r="H50" s="8" t="s">
        <v>875</v>
      </c>
      <c r="I50" s="17" t="s">
        <v>49</v>
      </c>
      <c r="J50" s="17"/>
      <c r="K50" s="26" t="s">
        <v>935</v>
      </c>
      <c r="L50" s="91"/>
      <c r="M50" s="66" t="s">
        <v>842</v>
      </c>
      <c r="N50" s="5" t="s">
        <v>101</v>
      </c>
      <c r="O50" s="14" t="s">
        <v>52</v>
      </c>
      <c r="P50" s="14">
        <v>4</v>
      </c>
    </row>
    <row r="51" spans="1:16" ht="24">
      <c r="A51" s="10" t="s">
        <v>936</v>
      </c>
      <c r="B51" s="17" t="s">
        <v>934</v>
      </c>
      <c r="C51" s="51" t="s">
        <v>849</v>
      </c>
      <c r="D51" s="51"/>
      <c r="E51" s="51"/>
      <c r="F51" s="51">
        <f>0.002*12</f>
        <v>2.4E-2</v>
      </c>
      <c r="G51" s="17" t="s">
        <v>104</v>
      </c>
      <c r="H51" s="8" t="s">
        <v>875</v>
      </c>
      <c r="I51" s="17" t="s">
        <v>49</v>
      </c>
      <c r="J51" s="17"/>
      <c r="K51" s="26" t="s">
        <v>937</v>
      </c>
      <c r="L51" s="56"/>
      <c r="M51" s="66" t="s">
        <v>842</v>
      </c>
      <c r="N51" s="5" t="s">
        <v>101</v>
      </c>
      <c r="O51" s="14" t="s">
        <v>52</v>
      </c>
      <c r="P51" s="14">
        <v>4</v>
      </c>
    </row>
    <row r="52" spans="1:16" ht="36">
      <c r="A52" s="10" t="s">
        <v>938</v>
      </c>
      <c r="B52" s="18" t="s">
        <v>918</v>
      </c>
      <c r="C52" s="51" t="s">
        <v>849</v>
      </c>
      <c r="D52" s="51"/>
      <c r="E52" s="51"/>
      <c r="F52" s="17">
        <v>3.3500000000000002E-2</v>
      </c>
      <c r="G52" s="17" t="s">
        <v>104</v>
      </c>
      <c r="H52" s="8" t="s">
        <v>875</v>
      </c>
      <c r="I52" s="17" t="s">
        <v>49</v>
      </c>
      <c r="J52" s="17"/>
      <c r="K52" s="26" t="s">
        <v>939</v>
      </c>
      <c r="L52" s="56"/>
      <c r="M52" s="66" t="s">
        <v>842</v>
      </c>
      <c r="N52" s="5" t="s">
        <v>101</v>
      </c>
      <c r="O52" s="14" t="s">
        <v>52</v>
      </c>
      <c r="P52" s="14">
        <v>4</v>
      </c>
    </row>
    <row r="53" spans="1:16" ht="108">
      <c r="A53" s="10" t="s">
        <v>1182</v>
      </c>
      <c r="B53" s="26" t="s">
        <v>839</v>
      </c>
      <c r="C53" s="51" t="s">
        <v>46</v>
      </c>
      <c r="D53" s="51"/>
      <c r="E53" s="51"/>
      <c r="F53" s="6">
        <v>0</v>
      </c>
      <c r="G53" s="17" t="s">
        <v>104</v>
      </c>
      <c r="H53" s="17"/>
      <c r="I53" s="17" t="s">
        <v>49</v>
      </c>
      <c r="J53" s="17"/>
      <c r="K53" s="26" t="s">
        <v>910</v>
      </c>
      <c r="L53" s="91"/>
      <c r="M53" s="66" t="s">
        <v>842</v>
      </c>
      <c r="N53" s="5" t="s">
        <v>101</v>
      </c>
      <c r="O53" s="14" t="s">
        <v>52</v>
      </c>
      <c r="P53" s="14">
        <v>4</v>
      </c>
    </row>
    <row r="54" spans="1:16">
      <c r="A54" s="48" t="s">
        <v>940</v>
      </c>
      <c r="B54" s="17" t="s">
        <v>881</v>
      </c>
      <c r="C54" s="51"/>
      <c r="D54" s="51"/>
      <c r="E54" s="51"/>
      <c r="F54" s="51"/>
      <c r="G54" s="17"/>
      <c r="H54" s="17"/>
      <c r="I54" s="17"/>
      <c r="J54" s="17"/>
      <c r="K54" s="26"/>
      <c r="L54" s="91"/>
      <c r="M54" s="66" t="s">
        <v>842</v>
      </c>
      <c r="N54" s="5" t="s">
        <v>101</v>
      </c>
      <c r="O54" s="14" t="s">
        <v>52</v>
      </c>
      <c r="P54" s="14">
        <v>4</v>
      </c>
    </row>
    <row r="55" spans="1:16" ht="45.75" customHeight="1">
      <c r="A55" s="10" t="s">
        <v>941</v>
      </c>
      <c r="B55" s="17" t="s">
        <v>934</v>
      </c>
      <c r="C55" s="51" t="s">
        <v>849</v>
      </c>
      <c r="D55" s="51"/>
      <c r="E55" s="51"/>
      <c r="F55" s="51">
        <f>0.007*12</f>
        <v>8.4000000000000005E-2</v>
      </c>
      <c r="G55" s="17" t="s">
        <v>104</v>
      </c>
      <c r="H55" s="8" t="s">
        <v>875</v>
      </c>
      <c r="I55" s="17" t="s">
        <v>49</v>
      </c>
      <c r="J55" s="17"/>
      <c r="K55" s="26" t="s">
        <v>942</v>
      </c>
      <c r="L55" s="91"/>
      <c r="M55" s="66" t="s">
        <v>842</v>
      </c>
      <c r="N55" s="5" t="s">
        <v>101</v>
      </c>
      <c r="O55" s="14" t="s">
        <v>52</v>
      </c>
      <c r="P55" s="14">
        <v>4</v>
      </c>
    </row>
    <row r="56" spans="1:16">
      <c r="A56" s="48" t="s">
        <v>943</v>
      </c>
      <c r="B56" s="17" t="s">
        <v>860</v>
      </c>
      <c r="C56" s="51"/>
      <c r="D56" s="51"/>
      <c r="E56" s="51"/>
      <c r="F56" s="51"/>
      <c r="G56" s="17"/>
      <c r="H56" s="17"/>
      <c r="I56" s="17"/>
      <c r="J56" s="17"/>
      <c r="K56" s="26"/>
      <c r="L56" s="91"/>
      <c r="M56" s="66" t="s">
        <v>842</v>
      </c>
      <c r="N56" s="5" t="s">
        <v>101</v>
      </c>
      <c r="O56" s="14" t="s">
        <v>52</v>
      </c>
      <c r="P56" s="14">
        <v>4</v>
      </c>
    </row>
    <row r="57" spans="1:16">
      <c r="A57" s="10" t="s">
        <v>944</v>
      </c>
      <c r="B57" s="18" t="s">
        <v>839</v>
      </c>
      <c r="C57" s="20" t="s">
        <v>379</v>
      </c>
      <c r="D57" s="20"/>
      <c r="E57" s="20"/>
      <c r="F57" s="51">
        <v>-1</v>
      </c>
      <c r="G57" s="17" t="s">
        <v>104</v>
      </c>
      <c r="H57" s="17" t="s">
        <v>895</v>
      </c>
      <c r="I57" s="17" t="s">
        <v>569</v>
      </c>
      <c r="J57" s="17"/>
      <c r="K57" s="26"/>
      <c r="L57" s="91"/>
      <c r="M57" s="66" t="s">
        <v>842</v>
      </c>
      <c r="N57" s="5" t="s">
        <v>101</v>
      </c>
      <c r="O57" s="14" t="s">
        <v>52</v>
      </c>
      <c r="P57" s="14">
        <v>4</v>
      </c>
    </row>
    <row r="58" spans="1:16">
      <c r="A58" s="10" t="s">
        <v>944</v>
      </c>
      <c r="B58" s="18" t="s">
        <v>839</v>
      </c>
      <c r="C58" s="20" t="s">
        <v>382</v>
      </c>
      <c r="D58" s="20"/>
      <c r="E58" s="20"/>
      <c r="F58" s="51">
        <v>1</v>
      </c>
      <c r="G58" s="17" t="s">
        <v>104</v>
      </c>
      <c r="H58" s="17" t="s">
        <v>895</v>
      </c>
      <c r="I58" s="17" t="s">
        <v>569</v>
      </c>
      <c r="J58" s="17"/>
      <c r="K58" s="26"/>
      <c r="L58" s="91"/>
      <c r="M58" s="66" t="s">
        <v>842</v>
      </c>
      <c r="N58" s="5" t="s">
        <v>101</v>
      </c>
      <c r="O58" s="14" t="s">
        <v>52</v>
      </c>
      <c r="P58" s="14">
        <v>4</v>
      </c>
    </row>
    <row r="59" spans="1:16">
      <c r="A59" s="10" t="s">
        <v>945</v>
      </c>
      <c r="B59" s="17" t="s">
        <v>839</v>
      </c>
      <c r="C59" s="20" t="s">
        <v>379</v>
      </c>
      <c r="D59" s="20"/>
      <c r="E59" s="20"/>
      <c r="F59" s="51">
        <v>5.2</v>
      </c>
      <c r="G59" s="17" t="s">
        <v>15</v>
      </c>
      <c r="H59" s="17" t="s">
        <v>946</v>
      </c>
      <c r="I59" s="17" t="s">
        <v>569</v>
      </c>
      <c r="J59" s="17"/>
      <c r="K59" s="26"/>
      <c r="L59" s="91"/>
      <c r="M59" s="66" t="s">
        <v>842</v>
      </c>
      <c r="N59" s="5" t="s">
        <v>101</v>
      </c>
      <c r="O59" s="14" t="s">
        <v>52</v>
      </c>
      <c r="P59" s="14">
        <v>4</v>
      </c>
    </row>
    <row r="60" spans="1:16">
      <c r="A60" s="10" t="s">
        <v>945</v>
      </c>
      <c r="B60" s="17" t="s">
        <v>839</v>
      </c>
      <c r="C60" s="20" t="s">
        <v>382</v>
      </c>
      <c r="D60" s="20"/>
      <c r="E60" s="20"/>
      <c r="F60" s="51">
        <v>7.2</v>
      </c>
      <c r="G60" s="17" t="s">
        <v>15</v>
      </c>
      <c r="H60" s="17" t="s">
        <v>946</v>
      </c>
      <c r="I60" s="17" t="s">
        <v>569</v>
      </c>
      <c r="J60" s="17"/>
      <c r="K60" s="26"/>
      <c r="L60" s="91"/>
      <c r="M60" s="66" t="s">
        <v>842</v>
      </c>
      <c r="N60" s="5" t="s">
        <v>101</v>
      </c>
      <c r="O60" s="14" t="s">
        <v>52</v>
      </c>
      <c r="P60" s="14">
        <v>4</v>
      </c>
    </row>
    <row r="61" spans="1:16" ht="24">
      <c r="A61" s="10" t="s">
        <v>947</v>
      </c>
      <c r="B61" s="18" t="s">
        <v>839</v>
      </c>
      <c r="C61" s="20" t="s">
        <v>379</v>
      </c>
      <c r="D61" s="20"/>
      <c r="E61" s="20"/>
      <c r="F61" s="97">
        <v>-8</v>
      </c>
      <c r="G61" s="17" t="s">
        <v>104</v>
      </c>
      <c r="H61" s="8" t="s">
        <v>890</v>
      </c>
      <c r="I61" s="17" t="s">
        <v>569</v>
      </c>
      <c r="J61" s="17"/>
      <c r="K61" s="26" t="s">
        <v>948</v>
      </c>
      <c r="L61" s="91"/>
      <c r="M61" s="66" t="s">
        <v>842</v>
      </c>
      <c r="N61" s="5" t="s">
        <v>101</v>
      </c>
      <c r="O61" s="14" t="s">
        <v>52</v>
      </c>
      <c r="P61" s="14">
        <v>4</v>
      </c>
    </row>
    <row r="62" spans="1:16" ht="24">
      <c r="A62" s="10" t="s">
        <v>947</v>
      </c>
      <c r="B62" s="18" t="s">
        <v>839</v>
      </c>
      <c r="C62" s="20" t="s">
        <v>382</v>
      </c>
      <c r="D62" s="20"/>
      <c r="E62" s="20"/>
      <c r="F62" s="97">
        <v>-5</v>
      </c>
      <c r="G62" s="17" t="s">
        <v>104</v>
      </c>
      <c r="H62" s="8" t="s">
        <v>890</v>
      </c>
      <c r="I62" s="17" t="s">
        <v>569</v>
      </c>
      <c r="J62" s="17"/>
      <c r="K62" s="26" t="s">
        <v>948</v>
      </c>
      <c r="L62" s="91"/>
      <c r="M62" s="66" t="s">
        <v>842</v>
      </c>
      <c r="N62" s="5" t="s">
        <v>101</v>
      </c>
      <c r="O62" s="14" t="s">
        <v>52</v>
      </c>
      <c r="P62" s="14">
        <v>4</v>
      </c>
    </row>
    <row r="63" spans="1:16">
      <c r="A63" s="10" t="s">
        <v>949</v>
      </c>
      <c r="B63" s="18" t="s">
        <v>839</v>
      </c>
      <c r="C63" s="20" t="s">
        <v>379</v>
      </c>
      <c r="D63" s="20"/>
      <c r="E63" s="20"/>
      <c r="F63" s="98">
        <v>-5.4</v>
      </c>
      <c r="G63" s="17" t="s">
        <v>15</v>
      </c>
      <c r="H63" s="8"/>
      <c r="I63" s="17" t="s">
        <v>569</v>
      </c>
      <c r="J63" s="17"/>
      <c r="K63" s="26" t="s">
        <v>892</v>
      </c>
      <c r="L63" s="91"/>
      <c r="M63" s="66" t="s">
        <v>842</v>
      </c>
      <c r="N63" s="5" t="s">
        <v>101</v>
      </c>
      <c r="O63" s="14" t="s">
        <v>52</v>
      </c>
      <c r="P63" s="14">
        <v>4</v>
      </c>
    </row>
    <row r="64" spans="1:16">
      <c r="A64" s="10" t="s">
        <v>949</v>
      </c>
      <c r="B64" s="18" t="s">
        <v>839</v>
      </c>
      <c r="C64" s="20" t="s">
        <v>382</v>
      </c>
      <c r="D64" s="20"/>
      <c r="E64" s="20"/>
      <c r="F64" s="98">
        <v>0</v>
      </c>
      <c r="G64" s="17" t="s">
        <v>15</v>
      </c>
      <c r="H64" s="8"/>
      <c r="I64" s="17" t="s">
        <v>569</v>
      </c>
      <c r="J64" s="17"/>
      <c r="K64" s="26"/>
      <c r="L64" s="91"/>
      <c r="M64" s="66" t="s">
        <v>842</v>
      </c>
      <c r="N64" s="5" t="s">
        <v>101</v>
      </c>
      <c r="O64" s="14" t="s">
        <v>52</v>
      </c>
      <c r="P64" s="14">
        <v>4</v>
      </c>
    </row>
    <row r="65" spans="1:16">
      <c r="A65" s="10" t="s">
        <v>950</v>
      </c>
      <c r="B65" s="17" t="s">
        <v>839</v>
      </c>
      <c r="C65" s="20" t="s">
        <v>379</v>
      </c>
      <c r="D65" s="20"/>
      <c r="E65" s="20"/>
      <c r="F65" s="51">
        <v>5</v>
      </c>
      <c r="G65" s="17" t="s">
        <v>15</v>
      </c>
      <c r="H65" s="17" t="s">
        <v>946</v>
      </c>
      <c r="I65" s="17" t="s">
        <v>569</v>
      </c>
      <c r="J65" s="17"/>
      <c r="K65" s="26"/>
      <c r="L65" s="91"/>
      <c r="M65" s="66" t="s">
        <v>842</v>
      </c>
      <c r="N65" s="5" t="s">
        <v>101</v>
      </c>
      <c r="O65" s="14" t="s">
        <v>52</v>
      </c>
      <c r="P65" s="14">
        <v>4</v>
      </c>
    </row>
    <row r="66" spans="1:16">
      <c r="A66" s="10" t="s">
        <v>950</v>
      </c>
      <c r="B66" s="17" t="s">
        <v>839</v>
      </c>
      <c r="C66" s="20" t="s">
        <v>382</v>
      </c>
      <c r="D66" s="20"/>
      <c r="E66" s="20"/>
      <c r="F66" s="51">
        <v>7.5</v>
      </c>
      <c r="G66" s="17" t="s">
        <v>15</v>
      </c>
      <c r="H66" s="17" t="s">
        <v>946</v>
      </c>
      <c r="I66" s="17" t="s">
        <v>569</v>
      </c>
      <c r="J66" s="17"/>
      <c r="K66" s="26"/>
      <c r="L66" s="91"/>
      <c r="M66" s="66" t="s">
        <v>842</v>
      </c>
      <c r="N66" s="5" t="s">
        <v>101</v>
      </c>
      <c r="O66" s="14" t="s">
        <v>52</v>
      </c>
      <c r="P66" s="14">
        <v>4</v>
      </c>
    </row>
    <row r="67" spans="1:16" ht="24">
      <c r="A67" s="10" t="s">
        <v>951</v>
      </c>
      <c r="B67" s="18" t="s">
        <v>839</v>
      </c>
      <c r="C67" s="20" t="s">
        <v>379</v>
      </c>
      <c r="D67" s="20"/>
      <c r="E67" s="20"/>
      <c r="F67" s="51">
        <v>0</v>
      </c>
      <c r="G67" s="17" t="s">
        <v>840</v>
      </c>
      <c r="H67" s="17" t="s">
        <v>952</v>
      </c>
      <c r="I67" s="17" t="s">
        <v>49</v>
      </c>
      <c r="J67" s="17" t="s">
        <v>953</v>
      </c>
      <c r="K67" s="26"/>
      <c r="L67" s="91"/>
      <c r="M67" s="66" t="s">
        <v>842</v>
      </c>
      <c r="N67" s="5" t="s">
        <v>101</v>
      </c>
      <c r="O67" s="14" t="s">
        <v>52</v>
      </c>
      <c r="P67" s="14">
        <v>4</v>
      </c>
    </row>
    <row r="68" spans="1:16" ht="24">
      <c r="A68" s="10" t="s">
        <v>951</v>
      </c>
      <c r="B68" s="18" t="s">
        <v>839</v>
      </c>
      <c r="C68" s="20" t="s">
        <v>382</v>
      </c>
      <c r="D68" s="20"/>
      <c r="E68" s="20"/>
      <c r="F68" s="51">
        <v>0</v>
      </c>
      <c r="G68" s="17" t="s">
        <v>840</v>
      </c>
      <c r="H68" s="17" t="s">
        <v>952</v>
      </c>
      <c r="I68" s="17" t="s">
        <v>49</v>
      </c>
      <c r="J68" s="17" t="s">
        <v>953</v>
      </c>
      <c r="K68" s="26"/>
      <c r="L68" s="91"/>
      <c r="M68" s="66" t="s">
        <v>842</v>
      </c>
      <c r="N68" s="5" t="s">
        <v>101</v>
      </c>
      <c r="O68" s="14" t="s">
        <v>52</v>
      </c>
      <c r="P68" s="14">
        <v>4</v>
      </c>
    </row>
    <row r="69" spans="1:16">
      <c r="A69" s="10" t="s">
        <v>954</v>
      </c>
      <c r="B69" s="18" t="s">
        <v>839</v>
      </c>
      <c r="C69" s="20" t="s">
        <v>379</v>
      </c>
      <c r="D69" s="20"/>
      <c r="E69" s="20"/>
      <c r="F69" s="51">
        <v>-1</v>
      </c>
      <c r="G69" s="17" t="s">
        <v>104</v>
      </c>
      <c r="H69" s="17" t="s">
        <v>895</v>
      </c>
      <c r="I69" s="17" t="s">
        <v>569</v>
      </c>
      <c r="J69" s="17"/>
      <c r="K69" s="26"/>
      <c r="L69" s="91"/>
      <c r="M69" s="66" t="s">
        <v>842</v>
      </c>
      <c r="N69" s="5" t="s">
        <v>101</v>
      </c>
      <c r="O69" s="14" t="s">
        <v>52</v>
      </c>
      <c r="P69" s="14">
        <v>4</v>
      </c>
    </row>
    <row r="70" spans="1:16">
      <c r="A70" s="10" t="s">
        <v>954</v>
      </c>
      <c r="B70" s="18" t="s">
        <v>839</v>
      </c>
      <c r="C70" s="20" t="s">
        <v>382</v>
      </c>
      <c r="D70" s="20"/>
      <c r="E70" s="20"/>
      <c r="F70" s="51">
        <v>1</v>
      </c>
      <c r="G70" s="17" t="s">
        <v>104</v>
      </c>
      <c r="H70" s="17" t="s">
        <v>895</v>
      </c>
      <c r="I70" s="17" t="s">
        <v>569</v>
      </c>
      <c r="J70" s="17"/>
      <c r="K70" s="26"/>
      <c r="L70" s="91"/>
      <c r="M70" s="66" t="s">
        <v>842</v>
      </c>
      <c r="N70" s="5" t="s">
        <v>101</v>
      </c>
      <c r="O70" s="14" t="s">
        <v>52</v>
      </c>
      <c r="P70" s="14">
        <v>4</v>
      </c>
    </row>
    <row r="71" spans="1:16">
      <c r="A71" s="10" t="s">
        <v>955</v>
      </c>
      <c r="B71" s="18"/>
      <c r="C71" s="51" t="s">
        <v>46</v>
      </c>
      <c r="D71" s="20"/>
      <c r="E71" s="20"/>
      <c r="F71" s="51" t="s">
        <v>956</v>
      </c>
      <c r="G71" s="17" t="s">
        <v>957</v>
      </c>
      <c r="H71" s="17"/>
      <c r="I71" s="17" t="s">
        <v>49</v>
      </c>
      <c r="J71" s="17"/>
      <c r="K71" s="26"/>
      <c r="L71" s="91"/>
      <c r="M71" s="66" t="s">
        <v>842</v>
      </c>
      <c r="N71" s="5" t="s">
        <v>101</v>
      </c>
      <c r="O71" s="14" t="s">
        <v>52</v>
      </c>
      <c r="P71" s="14">
        <v>4</v>
      </c>
    </row>
    <row r="72" spans="1:16" ht="24">
      <c r="A72" s="28" t="s">
        <v>353</v>
      </c>
      <c r="B72" s="3" t="s">
        <v>1</v>
      </c>
      <c r="C72" s="9" t="s">
        <v>31</v>
      </c>
      <c r="D72" s="9" t="s">
        <v>32</v>
      </c>
      <c r="E72" s="9" t="s">
        <v>33</v>
      </c>
      <c r="F72" s="9" t="s">
        <v>124</v>
      </c>
      <c r="G72" s="29" t="s">
        <v>125</v>
      </c>
      <c r="H72" s="29" t="s">
        <v>126</v>
      </c>
      <c r="I72" s="3" t="s">
        <v>36</v>
      </c>
      <c r="J72" s="3" t="s">
        <v>37</v>
      </c>
      <c r="K72" s="3" t="s">
        <v>38</v>
      </c>
      <c r="L72" s="29" t="s">
        <v>39</v>
      </c>
      <c r="M72" s="9" t="s">
        <v>40</v>
      </c>
      <c r="N72" s="9" t="s">
        <v>41</v>
      </c>
      <c r="O72" s="9" t="s">
        <v>42</v>
      </c>
      <c r="P72" s="9" t="s">
        <v>43</v>
      </c>
    </row>
    <row r="73" spans="1:16" ht="25.5" customHeight="1">
      <c r="A73" s="10" t="s">
        <v>958</v>
      </c>
      <c r="B73" s="17" t="s">
        <v>839</v>
      </c>
      <c r="C73" s="20" t="s">
        <v>382</v>
      </c>
      <c r="D73" s="20"/>
      <c r="E73" s="20"/>
      <c r="F73" s="101" t="s">
        <v>959</v>
      </c>
      <c r="G73" s="17" t="s">
        <v>15</v>
      </c>
      <c r="H73" s="17" t="s">
        <v>960</v>
      </c>
      <c r="I73" s="17" t="s">
        <v>569</v>
      </c>
      <c r="J73" s="17" t="s">
        <v>961</v>
      </c>
      <c r="K73" s="26" t="s">
        <v>962</v>
      </c>
      <c r="L73" s="91"/>
      <c r="M73" s="66" t="s">
        <v>963</v>
      </c>
      <c r="N73" s="5" t="s">
        <v>964</v>
      </c>
      <c r="O73" s="66" t="s">
        <v>965</v>
      </c>
      <c r="P73" s="66">
        <v>4</v>
      </c>
    </row>
    <row r="74" spans="1:16" ht="24">
      <c r="A74" s="10" t="s">
        <v>958</v>
      </c>
      <c r="B74" s="17" t="s">
        <v>839</v>
      </c>
      <c r="C74" s="20" t="s">
        <v>379</v>
      </c>
      <c r="D74" s="20"/>
      <c r="E74" s="20"/>
      <c r="F74" s="101" t="s">
        <v>966</v>
      </c>
      <c r="G74" s="17" t="s">
        <v>15</v>
      </c>
      <c r="H74" s="17" t="s">
        <v>960</v>
      </c>
      <c r="I74" s="17" t="s">
        <v>569</v>
      </c>
      <c r="J74" s="17" t="s">
        <v>961</v>
      </c>
      <c r="K74" s="26" t="s">
        <v>962</v>
      </c>
      <c r="L74" s="91"/>
      <c r="M74" s="66" t="s">
        <v>963</v>
      </c>
      <c r="N74" s="5" t="s">
        <v>964</v>
      </c>
      <c r="O74" s="66" t="s">
        <v>965</v>
      </c>
      <c r="P74" s="66">
        <v>4</v>
      </c>
    </row>
    <row r="75" spans="1:16" ht="24">
      <c r="A75" s="10" t="s">
        <v>967</v>
      </c>
      <c r="B75" s="17" t="s">
        <v>200</v>
      </c>
      <c r="C75" s="20" t="s">
        <v>382</v>
      </c>
      <c r="D75" s="20"/>
      <c r="E75" s="20"/>
      <c r="F75" s="17" t="s">
        <v>968</v>
      </c>
      <c r="G75" s="99" t="s">
        <v>969</v>
      </c>
      <c r="H75" s="17" t="s">
        <v>970</v>
      </c>
      <c r="I75" s="17" t="s">
        <v>49</v>
      </c>
      <c r="J75" s="17"/>
      <c r="K75" s="26" t="s">
        <v>971</v>
      </c>
      <c r="L75" s="91"/>
      <c r="M75" s="66" t="s">
        <v>963</v>
      </c>
      <c r="N75" s="5" t="s">
        <v>122</v>
      </c>
      <c r="O75" s="66" t="s">
        <v>965</v>
      </c>
      <c r="P75" s="66">
        <v>4</v>
      </c>
    </row>
    <row r="76" spans="1:16">
      <c r="A76" s="10" t="s">
        <v>967</v>
      </c>
      <c r="B76" s="17" t="s">
        <v>200</v>
      </c>
      <c r="C76" s="20" t="s">
        <v>379</v>
      </c>
      <c r="D76" s="20"/>
      <c r="E76" s="20"/>
      <c r="F76" s="102">
        <v>120</v>
      </c>
      <c r="G76" s="51" t="s">
        <v>104</v>
      </c>
      <c r="H76" s="17" t="s">
        <v>972</v>
      </c>
      <c r="I76" s="17" t="s">
        <v>49</v>
      </c>
      <c r="J76" s="17"/>
      <c r="K76" s="5"/>
      <c r="L76" s="56"/>
      <c r="M76" s="66" t="s">
        <v>963</v>
      </c>
      <c r="N76" s="5" t="s">
        <v>122</v>
      </c>
      <c r="O76" s="66" t="s">
        <v>965</v>
      </c>
      <c r="P76" s="66">
        <v>4</v>
      </c>
    </row>
    <row r="77" spans="1:16">
      <c r="A77" s="10" t="s">
        <v>973</v>
      </c>
      <c r="B77" s="17" t="s">
        <v>200</v>
      </c>
      <c r="C77" s="20" t="s">
        <v>382</v>
      </c>
      <c r="D77" s="20"/>
      <c r="E77" s="20"/>
      <c r="F77" s="51" t="s">
        <v>974</v>
      </c>
      <c r="G77" s="51" t="s">
        <v>104</v>
      </c>
      <c r="H77" s="17" t="s">
        <v>975</v>
      </c>
      <c r="I77" s="17" t="s">
        <v>49</v>
      </c>
      <c r="J77" s="17"/>
      <c r="K77" s="17"/>
      <c r="L77" s="91"/>
      <c r="M77" s="66" t="s">
        <v>963</v>
      </c>
      <c r="N77" s="5" t="s">
        <v>101</v>
      </c>
      <c r="O77" s="66" t="s">
        <v>965</v>
      </c>
      <c r="P77" s="66">
        <v>4</v>
      </c>
    </row>
    <row r="78" spans="1:16" ht="30" customHeight="1">
      <c r="A78" s="10" t="s">
        <v>973</v>
      </c>
      <c r="B78" s="17" t="s">
        <v>200</v>
      </c>
      <c r="C78" s="20" t="s">
        <v>379</v>
      </c>
      <c r="D78" s="20"/>
      <c r="E78" s="20"/>
      <c r="F78" s="17" t="s">
        <v>976</v>
      </c>
      <c r="G78" s="99" t="s">
        <v>969</v>
      </c>
      <c r="H78" s="17" t="s">
        <v>970</v>
      </c>
      <c r="I78" s="17" t="s">
        <v>49</v>
      </c>
      <c r="J78" s="17"/>
      <c r="K78" s="26" t="s">
        <v>977</v>
      </c>
      <c r="L78" s="91"/>
      <c r="M78" s="66" t="s">
        <v>963</v>
      </c>
      <c r="N78" s="5" t="s">
        <v>101</v>
      </c>
      <c r="O78" s="66" t="s">
        <v>965</v>
      </c>
      <c r="P78" s="66">
        <v>4</v>
      </c>
    </row>
    <row r="79" spans="1:16" ht="24">
      <c r="A79" s="10" t="s">
        <v>978</v>
      </c>
      <c r="B79" s="17" t="s">
        <v>839</v>
      </c>
      <c r="C79" s="20" t="s">
        <v>382</v>
      </c>
      <c r="D79" s="20"/>
      <c r="E79" s="20"/>
      <c r="F79" s="51">
        <v>1028.2</v>
      </c>
      <c r="G79" s="17" t="s">
        <v>15</v>
      </c>
      <c r="H79" s="17" t="s">
        <v>946</v>
      </c>
      <c r="I79" s="17" t="s">
        <v>569</v>
      </c>
      <c r="J79" s="17" t="s">
        <v>961</v>
      </c>
      <c r="K79" s="26" t="s">
        <v>979</v>
      </c>
      <c r="L79" s="56"/>
      <c r="M79" s="66" t="s">
        <v>963</v>
      </c>
      <c r="N79" s="5" t="s">
        <v>964</v>
      </c>
      <c r="O79" s="66" t="s">
        <v>965</v>
      </c>
      <c r="P79" s="66">
        <v>4</v>
      </c>
    </row>
    <row r="80" spans="1:16" ht="24">
      <c r="A80" s="10" t="s">
        <v>978</v>
      </c>
      <c r="B80" s="17" t="s">
        <v>839</v>
      </c>
      <c r="C80" s="20" t="s">
        <v>379</v>
      </c>
      <c r="D80" s="20"/>
      <c r="E80" s="20"/>
      <c r="F80" s="51">
        <v>1025.7</v>
      </c>
      <c r="G80" s="17" t="s">
        <v>15</v>
      </c>
      <c r="H80" s="17" t="s">
        <v>946</v>
      </c>
      <c r="I80" s="17" t="s">
        <v>569</v>
      </c>
      <c r="J80" s="17" t="s">
        <v>961</v>
      </c>
      <c r="K80" s="26" t="s">
        <v>979</v>
      </c>
      <c r="L80" s="56"/>
      <c r="M80" s="66" t="s">
        <v>963</v>
      </c>
      <c r="N80" s="5" t="s">
        <v>964</v>
      </c>
      <c r="O80" s="66" t="s">
        <v>965</v>
      </c>
      <c r="P80" s="66">
        <v>4</v>
      </c>
    </row>
    <row r="81" spans="1:16" ht="24">
      <c r="A81" s="10" t="s">
        <v>980</v>
      </c>
      <c r="B81" s="17" t="s">
        <v>839</v>
      </c>
      <c r="C81" s="20" t="s">
        <v>382</v>
      </c>
      <c r="D81" s="20"/>
      <c r="E81" s="20"/>
      <c r="F81" s="51">
        <v>1028.2</v>
      </c>
      <c r="G81" s="17" t="s">
        <v>15</v>
      </c>
      <c r="H81" s="17" t="s">
        <v>946</v>
      </c>
      <c r="I81" s="17" t="s">
        <v>569</v>
      </c>
      <c r="J81" s="17" t="s">
        <v>961</v>
      </c>
      <c r="K81" s="26" t="s">
        <v>979</v>
      </c>
      <c r="L81" s="56"/>
      <c r="M81" s="66" t="s">
        <v>963</v>
      </c>
      <c r="N81" s="5" t="s">
        <v>964</v>
      </c>
      <c r="O81" s="66" t="s">
        <v>965</v>
      </c>
      <c r="P81" s="66">
        <v>4</v>
      </c>
    </row>
    <row r="82" spans="1:16" ht="24">
      <c r="A82" s="10" t="s">
        <v>980</v>
      </c>
      <c r="B82" s="17" t="s">
        <v>839</v>
      </c>
      <c r="C82" s="20" t="s">
        <v>379</v>
      </c>
      <c r="D82" s="20"/>
      <c r="E82" s="20"/>
      <c r="F82" s="51">
        <v>1025.7</v>
      </c>
      <c r="G82" s="17" t="s">
        <v>15</v>
      </c>
      <c r="H82" s="17" t="s">
        <v>946</v>
      </c>
      <c r="I82" s="17" t="s">
        <v>569</v>
      </c>
      <c r="J82" s="17" t="s">
        <v>961</v>
      </c>
      <c r="K82" s="26" t="s">
        <v>979</v>
      </c>
      <c r="L82" s="56"/>
      <c r="M82" s="66" t="s">
        <v>963</v>
      </c>
      <c r="N82" s="5" t="s">
        <v>964</v>
      </c>
      <c r="O82" s="66" t="s">
        <v>965</v>
      </c>
      <c r="P82" s="66">
        <v>4</v>
      </c>
    </row>
    <row r="83" spans="1:16">
      <c r="A83" s="10" t="s">
        <v>981</v>
      </c>
      <c r="B83" s="18" t="s">
        <v>918</v>
      </c>
      <c r="C83" s="51" t="s">
        <v>982</v>
      </c>
      <c r="D83" s="51"/>
      <c r="E83" s="51"/>
      <c r="F83" s="103">
        <v>0.03</v>
      </c>
      <c r="G83" s="51" t="s">
        <v>104</v>
      </c>
      <c r="H83" s="8" t="s">
        <v>875</v>
      </c>
      <c r="I83" s="17" t="s">
        <v>49</v>
      </c>
      <c r="J83" s="17"/>
      <c r="K83" s="5" t="s">
        <v>983</v>
      </c>
      <c r="L83" s="104"/>
      <c r="M83" s="66" t="s">
        <v>963</v>
      </c>
      <c r="N83" s="5" t="s">
        <v>847</v>
      </c>
      <c r="O83" s="66" t="s">
        <v>965</v>
      </c>
      <c r="P83" s="66">
        <v>4</v>
      </c>
    </row>
    <row r="84" spans="1:16">
      <c r="A84" s="10" t="s">
        <v>981</v>
      </c>
      <c r="B84" s="18" t="s">
        <v>918</v>
      </c>
      <c r="C84" s="51" t="s">
        <v>984</v>
      </c>
      <c r="D84" s="51"/>
      <c r="E84" s="51"/>
      <c r="F84" s="5">
        <v>3.6999999999999998E-2</v>
      </c>
      <c r="G84" s="51" t="s">
        <v>104</v>
      </c>
      <c r="H84" s="8" t="s">
        <v>875</v>
      </c>
      <c r="I84" s="17" t="s">
        <v>49</v>
      </c>
      <c r="J84" s="17"/>
      <c r="K84" s="5" t="s">
        <v>985</v>
      </c>
      <c r="L84" s="104"/>
      <c r="M84" s="66" t="s">
        <v>963</v>
      </c>
      <c r="N84" s="5" t="s">
        <v>847</v>
      </c>
      <c r="O84" s="66" t="s">
        <v>965</v>
      </c>
      <c r="P84" s="66">
        <v>4</v>
      </c>
    </row>
    <row r="85" spans="1:16" ht="24">
      <c r="A85" s="10" t="s">
        <v>986</v>
      </c>
      <c r="B85" s="17" t="s">
        <v>839</v>
      </c>
      <c r="C85" s="20" t="s">
        <v>382</v>
      </c>
      <c r="D85" s="20"/>
      <c r="E85" s="20"/>
      <c r="F85" s="17" t="s">
        <v>987</v>
      </c>
      <c r="G85" s="17" t="s">
        <v>988</v>
      </c>
      <c r="H85" s="17" t="s">
        <v>989</v>
      </c>
      <c r="I85" s="17" t="s">
        <v>569</v>
      </c>
      <c r="J85" s="17" t="s">
        <v>961</v>
      </c>
      <c r="K85" s="26" t="s">
        <v>990</v>
      </c>
      <c r="L85" s="91"/>
      <c r="M85" s="66" t="s">
        <v>963</v>
      </c>
      <c r="N85" s="5" t="s">
        <v>964</v>
      </c>
      <c r="O85" s="66" t="s">
        <v>965</v>
      </c>
      <c r="P85" s="66">
        <v>4</v>
      </c>
    </row>
    <row r="86" spans="1:16" ht="24">
      <c r="A86" s="10" t="s">
        <v>986</v>
      </c>
      <c r="B86" s="17" t="s">
        <v>839</v>
      </c>
      <c r="C86" s="20" t="s">
        <v>379</v>
      </c>
      <c r="D86" s="20"/>
      <c r="E86" s="20"/>
      <c r="F86" s="17" t="s">
        <v>991</v>
      </c>
      <c r="G86" s="17" t="s">
        <v>988</v>
      </c>
      <c r="H86" s="17" t="s">
        <v>989</v>
      </c>
      <c r="I86" s="17" t="s">
        <v>569</v>
      </c>
      <c r="J86" s="17" t="s">
        <v>961</v>
      </c>
      <c r="K86" s="26" t="s">
        <v>990</v>
      </c>
      <c r="L86" s="91"/>
      <c r="M86" s="66" t="s">
        <v>963</v>
      </c>
      <c r="N86" s="5" t="s">
        <v>964</v>
      </c>
      <c r="O86" s="66" t="s">
        <v>965</v>
      </c>
      <c r="P86" s="66">
        <v>4</v>
      </c>
    </row>
    <row r="87" spans="1:16" ht="24">
      <c r="A87" s="10" t="s">
        <v>992</v>
      </c>
      <c r="B87" s="17" t="s">
        <v>839</v>
      </c>
      <c r="C87" s="20" t="s">
        <v>382</v>
      </c>
      <c r="D87" s="20"/>
      <c r="E87" s="20"/>
      <c r="F87" s="17" t="s">
        <v>987</v>
      </c>
      <c r="G87" s="17" t="s">
        <v>988</v>
      </c>
      <c r="H87" s="17" t="s">
        <v>989</v>
      </c>
      <c r="I87" s="17" t="s">
        <v>569</v>
      </c>
      <c r="J87" s="17" t="s">
        <v>961</v>
      </c>
      <c r="K87" s="26" t="s">
        <v>993</v>
      </c>
      <c r="L87" s="91"/>
      <c r="M87" s="66" t="s">
        <v>963</v>
      </c>
      <c r="N87" s="5" t="s">
        <v>964</v>
      </c>
      <c r="O87" s="66" t="s">
        <v>965</v>
      </c>
      <c r="P87" s="66">
        <v>4</v>
      </c>
    </row>
    <row r="88" spans="1:16" ht="24">
      <c r="A88" s="10" t="s">
        <v>992</v>
      </c>
      <c r="B88" s="17" t="s">
        <v>839</v>
      </c>
      <c r="C88" s="20" t="s">
        <v>379</v>
      </c>
      <c r="D88" s="20"/>
      <c r="E88" s="20"/>
      <c r="F88" s="17" t="s">
        <v>991</v>
      </c>
      <c r="G88" s="17" t="s">
        <v>988</v>
      </c>
      <c r="H88" s="17" t="s">
        <v>989</v>
      </c>
      <c r="I88" s="17" t="s">
        <v>569</v>
      </c>
      <c r="J88" s="17" t="s">
        <v>961</v>
      </c>
      <c r="K88" s="26" t="s">
        <v>993</v>
      </c>
      <c r="L88" s="91"/>
      <c r="M88" s="66" t="s">
        <v>963</v>
      </c>
      <c r="N88" s="5" t="s">
        <v>964</v>
      </c>
      <c r="O88" s="66" t="s">
        <v>965</v>
      </c>
      <c r="P88" s="66">
        <v>4</v>
      </c>
    </row>
    <row r="89" spans="1:16" ht="24">
      <c r="A89" s="10" t="s">
        <v>994</v>
      </c>
      <c r="B89" s="18" t="s">
        <v>918</v>
      </c>
      <c r="C89" s="51" t="s">
        <v>982</v>
      </c>
      <c r="D89" s="51"/>
      <c r="E89" s="51"/>
      <c r="F89" s="5">
        <v>1.26E-2</v>
      </c>
      <c r="G89" s="51" t="s">
        <v>104</v>
      </c>
      <c r="H89" s="8" t="s">
        <v>875</v>
      </c>
      <c r="I89" s="17" t="s">
        <v>49</v>
      </c>
      <c r="J89" s="17"/>
      <c r="K89" s="17" t="s">
        <v>995</v>
      </c>
      <c r="L89" s="91"/>
      <c r="M89" s="66" t="s">
        <v>963</v>
      </c>
      <c r="N89" s="5" t="s">
        <v>101</v>
      </c>
      <c r="O89" s="66" t="s">
        <v>965</v>
      </c>
      <c r="P89" s="66">
        <v>4</v>
      </c>
    </row>
    <row r="90" spans="1:16" ht="24">
      <c r="A90" s="10" t="s">
        <v>994</v>
      </c>
      <c r="B90" s="18" t="s">
        <v>918</v>
      </c>
      <c r="C90" s="51" t="s">
        <v>984</v>
      </c>
      <c r="D90" s="51"/>
      <c r="E90" s="51"/>
      <c r="F90" s="5">
        <v>1.5800000000000002E-2</v>
      </c>
      <c r="G90" s="51" t="s">
        <v>104</v>
      </c>
      <c r="H90" s="8" t="s">
        <v>875</v>
      </c>
      <c r="I90" s="17" t="s">
        <v>49</v>
      </c>
      <c r="J90" s="17"/>
      <c r="K90" s="17" t="s">
        <v>996</v>
      </c>
      <c r="L90" s="91"/>
      <c r="M90" s="66" t="s">
        <v>963</v>
      </c>
      <c r="N90" s="5" t="s">
        <v>101</v>
      </c>
      <c r="O90" s="66" t="s">
        <v>965</v>
      </c>
      <c r="P90" s="66">
        <v>4</v>
      </c>
    </row>
    <row r="91" spans="1:16" ht="24">
      <c r="A91" s="10" t="s">
        <v>997</v>
      </c>
      <c r="B91" s="17" t="s">
        <v>839</v>
      </c>
      <c r="C91" s="20" t="s">
        <v>382</v>
      </c>
      <c r="D91" s="20"/>
      <c r="E91" s="20"/>
      <c r="F91" s="17" t="s">
        <v>987</v>
      </c>
      <c r="G91" s="17" t="s">
        <v>988</v>
      </c>
      <c r="H91" s="17" t="s">
        <v>989</v>
      </c>
      <c r="I91" s="17" t="s">
        <v>569</v>
      </c>
      <c r="J91" s="17" t="s">
        <v>961</v>
      </c>
      <c r="K91" s="26"/>
      <c r="L91" s="91"/>
      <c r="M91" s="66" t="s">
        <v>963</v>
      </c>
      <c r="N91" s="5" t="s">
        <v>964</v>
      </c>
      <c r="O91" s="66" t="s">
        <v>965</v>
      </c>
      <c r="P91" s="66">
        <v>4</v>
      </c>
    </row>
    <row r="92" spans="1:16" ht="24">
      <c r="A92" s="10" t="s">
        <v>997</v>
      </c>
      <c r="B92" s="17" t="s">
        <v>839</v>
      </c>
      <c r="C92" s="20" t="s">
        <v>379</v>
      </c>
      <c r="D92" s="20"/>
      <c r="E92" s="20"/>
      <c r="F92" s="17" t="s">
        <v>991</v>
      </c>
      <c r="G92" s="17" t="s">
        <v>988</v>
      </c>
      <c r="H92" s="17" t="s">
        <v>989</v>
      </c>
      <c r="I92" s="17" t="s">
        <v>569</v>
      </c>
      <c r="J92" s="17" t="s">
        <v>961</v>
      </c>
      <c r="K92" s="26"/>
      <c r="L92" s="91"/>
      <c r="M92" s="66" t="s">
        <v>963</v>
      </c>
      <c r="N92" s="5" t="s">
        <v>964</v>
      </c>
      <c r="O92" s="66" t="s">
        <v>965</v>
      </c>
      <c r="P92" s="66">
        <v>4</v>
      </c>
    </row>
    <row r="93" spans="1:16" ht="36">
      <c r="A93" s="10" t="s">
        <v>998</v>
      </c>
      <c r="B93" s="17" t="s">
        <v>200</v>
      </c>
      <c r="C93" s="51" t="s">
        <v>46</v>
      </c>
      <c r="D93" s="51"/>
      <c r="E93" s="51"/>
      <c r="F93" s="105" t="s">
        <v>999</v>
      </c>
      <c r="G93" s="99" t="s">
        <v>1000</v>
      </c>
      <c r="H93" s="17" t="s">
        <v>1001</v>
      </c>
      <c r="I93" s="17" t="s">
        <v>49</v>
      </c>
      <c r="J93" s="17"/>
      <c r="K93" s="26"/>
      <c r="L93" s="91"/>
      <c r="M93" s="66" t="s">
        <v>963</v>
      </c>
      <c r="N93" s="5" t="s">
        <v>122</v>
      </c>
      <c r="O93" s="66" t="s">
        <v>965</v>
      </c>
      <c r="P93" s="66">
        <v>4</v>
      </c>
    </row>
    <row r="94" spans="1:16" ht="39" customHeight="1">
      <c r="A94" s="10" t="s">
        <v>1002</v>
      </c>
      <c r="B94" s="17" t="s">
        <v>200</v>
      </c>
      <c r="C94" s="51" t="s">
        <v>46</v>
      </c>
      <c r="D94" s="51"/>
      <c r="E94" s="51"/>
      <c r="F94" s="17" t="s">
        <v>1003</v>
      </c>
      <c r="G94" s="99" t="s">
        <v>1004</v>
      </c>
      <c r="H94" s="17" t="s">
        <v>1005</v>
      </c>
      <c r="I94" s="17" t="s">
        <v>49</v>
      </c>
      <c r="J94" s="17"/>
      <c r="L94" s="91"/>
      <c r="M94" s="66" t="s">
        <v>963</v>
      </c>
      <c r="N94" s="5" t="s">
        <v>101</v>
      </c>
      <c r="O94" s="66" t="s">
        <v>965</v>
      </c>
      <c r="P94" s="66">
        <v>4</v>
      </c>
    </row>
    <row r="95" spans="1:16" ht="24">
      <c r="A95" s="10" t="s">
        <v>1006</v>
      </c>
      <c r="B95" s="18" t="s">
        <v>918</v>
      </c>
      <c r="C95" s="51" t="s">
        <v>982</v>
      </c>
      <c r="D95" s="51"/>
      <c r="E95" s="51"/>
      <c r="F95" s="5">
        <v>1.54E-2</v>
      </c>
      <c r="G95" s="51" t="s">
        <v>104</v>
      </c>
      <c r="H95" s="8" t="s">
        <v>875</v>
      </c>
      <c r="I95" s="17" t="s">
        <v>49</v>
      </c>
      <c r="J95" s="17"/>
      <c r="K95" s="17" t="s">
        <v>995</v>
      </c>
      <c r="L95" s="91"/>
      <c r="M95" s="66" t="s">
        <v>963</v>
      </c>
      <c r="N95" s="5" t="s">
        <v>101</v>
      </c>
      <c r="O95" s="66" t="s">
        <v>965</v>
      </c>
      <c r="P95" s="66">
        <v>4</v>
      </c>
    </row>
    <row r="96" spans="1:16" ht="24">
      <c r="A96" s="10" t="s">
        <v>1006</v>
      </c>
      <c r="B96" s="18" t="s">
        <v>918</v>
      </c>
      <c r="C96" s="51" t="s">
        <v>984</v>
      </c>
      <c r="D96" s="51"/>
      <c r="E96" s="51"/>
      <c r="F96" s="5">
        <v>1.9300000000000001E-2</v>
      </c>
      <c r="G96" s="51" t="s">
        <v>104</v>
      </c>
      <c r="H96" s="8" t="s">
        <v>875</v>
      </c>
      <c r="I96" s="17" t="s">
        <v>49</v>
      </c>
      <c r="J96" s="17"/>
      <c r="K96" s="17" t="s">
        <v>996</v>
      </c>
      <c r="L96" s="91"/>
      <c r="M96" s="66" t="s">
        <v>963</v>
      </c>
      <c r="N96" s="5" t="s">
        <v>101</v>
      </c>
      <c r="O96" s="66" t="s">
        <v>965</v>
      </c>
      <c r="P96" s="66">
        <v>4</v>
      </c>
    </row>
    <row r="97" spans="1:16" ht="24">
      <c r="A97" s="10" t="s">
        <v>1007</v>
      </c>
      <c r="B97" s="17" t="s">
        <v>839</v>
      </c>
      <c r="C97" s="20" t="s">
        <v>382</v>
      </c>
      <c r="D97" s="20"/>
      <c r="E97" s="20"/>
      <c r="F97" s="17" t="s">
        <v>987</v>
      </c>
      <c r="G97" s="17" t="s">
        <v>988</v>
      </c>
      <c r="H97" s="17" t="s">
        <v>989</v>
      </c>
      <c r="I97" s="17" t="s">
        <v>569</v>
      </c>
      <c r="J97" s="17" t="s">
        <v>961</v>
      </c>
      <c r="K97" s="26"/>
      <c r="L97" s="91"/>
      <c r="M97" s="66" t="s">
        <v>963</v>
      </c>
      <c r="N97" s="5" t="s">
        <v>964</v>
      </c>
      <c r="O97" s="66" t="s">
        <v>965</v>
      </c>
      <c r="P97" s="66">
        <v>4</v>
      </c>
    </row>
    <row r="98" spans="1:16" ht="24">
      <c r="A98" s="10" t="s">
        <v>1007</v>
      </c>
      <c r="B98" s="17" t="s">
        <v>839</v>
      </c>
      <c r="C98" s="20" t="s">
        <v>379</v>
      </c>
      <c r="D98" s="20"/>
      <c r="E98" s="20"/>
      <c r="F98" s="17" t="s">
        <v>991</v>
      </c>
      <c r="G98" s="17" t="s">
        <v>988</v>
      </c>
      <c r="H98" s="17" t="s">
        <v>989</v>
      </c>
      <c r="I98" s="17" t="s">
        <v>569</v>
      </c>
      <c r="J98" s="17" t="s">
        <v>961</v>
      </c>
      <c r="K98" s="26"/>
      <c r="L98" s="91"/>
      <c r="M98" s="66" t="s">
        <v>963</v>
      </c>
      <c r="N98" s="5" t="s">
        <v>964</v>
      </c>
      <c r="O98" s="66" t="s">
        <v>965</v>
      </c>
      <c r="P98" s="66">
        <v>4</v>
      </c>
    </row>
    <row r="99" spans="1:16" ht="36">
      <c r="A99" s="10" t="s">
        <v>1008</v>
      </c>
      <c r="B99" s="17" t="s">
        <v>200</v>
      </c>
      <c r="C99" s="51" t="s">
        <v>46</v>
      </c>
      <c r="D99" s="51"/>
      <c r="E99" s="51"/>
      <c r="F99" s="105" t="s">
        <v>999</v>
      </c>
      <c r="G99" s="99" t="s">
        <v>1000</v>
      </c>
      <c r="H99" s="17" t="s">
        <v>1001</v>
      </c>
      <c r="I99" s="17" t="s">
        <v>49</v>
      </c>
      <c r="J99" s="17"/>
      <c r="K99" s="26"/>
      <c r="L99" s="91"/>
      <c r="M99" s="66" t="s">
        <v>963</v>
      </c>
      <c r="N99" s="5" t="s">
        <v>122</v>
      </c>
      <c r="O99" s="66" t="s">
        <v>965</v>
      </c>
      <c r="P99" s="66">
        <v>4</v>
      </c>
    </row>
    <row r="100" spans="1:16" ht="36.75" customHeight="1">
      <c r="A100" s="10" t="s">
        <v>1009</v>
      </c>
      <c r="B100" s="17" t="s">
        <v>200</v>
      </c>
      <c r="C100" s="51" t="s">
        <v>46</v>
      </c>
      <c r="D100" s="51"/>
      <c r="E100" s="51"/>
      <c r="F100" s="17" t="s">
        <v>1003</v>
      </c>
      <c r="G100" s="99" t="s">
        <v>1004</v>
      </c>
      <c r="H100" s="17" t="s">
        <v>1005</v>
      </c>
      <c r="I100" s="17" t="s">
        <v>49</v>
      </c>
      <c r="J100" s="17"/>
      <c r="K100" s="26"/>
      <c r="L100" s="91"/>
      <c r="M100" s="66" t="s">
        <v>963</v>
      </c>
      <c r="N100" s="5" t="s">
        <v>101</v>
      </c>
      <c r="O100" s="66" t="s">
        <v>965</v>
      </c>
      <c r="P100" s="66">
        <v>4</v>
      </c>
    </row>
    <row r="101" spans="1:16">
      <c r="A101" s="10" t="s">
        <v>1010</v>
      </c>
      <c r="B101" s="18" t="s">
        <v>918</v>
      </c>
      <c r="C101" s="51" t="s">
        <v>849</v>
      </c>
      <c r="D101" s="51"/>
      <c r="E101" s="51"/>
      <c r="F101" s="106">
        <v>8.9999999999999998E-4</v>
      </c>
      <c r="G101" s="51" t="s">
        <v>104</v>
      </c>
      <c r="H101" s="8" t="s">
        <v>875</v>
      </c>
      <c r="I101" s="17" t="s">
        <v>49</v>
      </c>
      <c r="J101" s="17"/>
      <c r="K101" s="17" t="s">
        <v>1011</v>
      </c>
      <c r="L101" s="91"/>
      <c r="M101" s="66" t="s">
        <v>963</v>
      </c>
      <c r="N101" s="5" t="s">
        <v>847</v>
      </c>
      <c r="O101" s="66" t="s">
        <v>965</v>
      </c>
      <c r="P101" s="66">
        <v>4</v>
      </c>
    </row>
    <row r="102" spans="1:16">
      <c r="A102" s="10" t="s">
        <v>1012</v>
      </c>
      <c r="B102" s="17" t="s">
        <v>200</v>
      </c>
      <c r="C102" s="20" t="s">
        <v>46</v>
      </c>
      <c r="D102" s="20"/>
      <c r="E102" s="20"/>
      <c r="F102" s="17" t="s">
        <v>1013</v>
      </c>
      <c r="G102" s="99" t="s">
        <v>104</v>
      </c>
      <c r="H102" s="17" t="s">
        <v>1014</v>
      </c>
      <c r="I102" s="17" t="s">
        <v>49</v>
      </c>
      <c r="J102" s="17"/>
      <c r="K102" s="26" t="s">
        <v>1015</v>
      </c>
      <c r="L102" s="91"/>
      <c r="M102" s="66" t="s">
        <v>963</v>
      </c>
      <c r="N102" s="5" t="s">
        <v>122</v>
      </c>
      <c r="O102" s="66" t="s">
        <v>965</v>
      </c>
      <c r="P102" s="66">
        <v>4</v>
      </c>
    </row>
    <row r="103" spans="1:16">
      <c r="A103" s="10" t="s">
        <v>1016</v>
      </c>
      <c r="B103" s="17" t="s">
        <v>200</v>
      </c>
      <c r="C103" s="20" t="s">
        <v>46</v>
      </c>
      <c r="D103" s="20"/>
      <c r="E103" s="20"/>
      <c r="F103" s="51" t="s">
        <v>1017</v>
      </c>
      <c r="G103" s="51" t="s">
        <v>104</v>
      </c>
      <c r="H103" s="17" t="s">
        <v>1014</v>
      </c>
      <c r="I103" s="17" t="s">
        <v>49</v>
      </c>
      <c r="J103" s="17"/>
      <c r="K103" s="26" t="s">
        <v>1015</v>
      </c>
      <c r="L103" s="91"/>
      <c r="M103" s="66" t="s">
        <v>963</v>
      </c>
      <c r="N103" s="5" t="s">
        <v>101</v>
      </c>
      <c r="O103" s="66" t="s">
        <v>965</v>
      </c>
      <c r="P103" s="66">
        <v>4</v>
      </c>
    </row>
    <row r="104" spans="1:16">
      <c r="A104" s="10" t="s">
        <v>1018</v>
      </c>
      <c r="B104" s="18" t="s">
        <v>918</v>
      </c>
      <c r="C104" s="51" t="s">
        <v>849</v>
      </c>
      <c r="D104" s="51"/>
      <c r="E104" s="51"/>
      <c r="F104" s="94">
        <v>1.1000000000000001E-3</v>
      </c>
      <c r="G104" s="51" t="s">
        <v>104</v>
      </c>
      <c r="H104" s="8" t="s">
        <v>875</v>
      </c>
      <c r="I104" s="17" t="s">
        <v>49</v>
      </c>
      <c r="J104" s="17"/>
      <c r="K104" s="17" t="s">
        <v>1019</v>
      </c>
      <c r="L104" s="91"/>
      <c r="M104" s="66" t="s">
        <v>963</v>
      </c>
      <c r="N104" s="5" t="s">
        <v>847</v>
      </c>
      <c r="O104" s="66" t="s">
        <v>965</v>
      </c>
      <c r="P104" s="66">
        <v>4</v>
      </c>
    </row>
    <row r="105" spans="1:16">
      <c r="A105" s="10" t="s">
        <v>1020</v>
      </c>
      <c r="B105" s="17" t="s">
        <v>200</v>
      </c>
      <c r="C105" s="20" t="s">
        <v>46</v>
      </c>
      <c r="D105" s="20"/>
      <c r="E105" s="20"/>
      <c r="F105" s="17" t="s">
        <v>1013</v>
      </c>
      <c r="G105" s="99" t="s">
        <v>104</v>
      </c>
      <c r="H105" s="17" t="s">
        <v>1014</v>
      </c>
      <c r="I105" s="17" t="s">
        <v>49</v>
      </c>
      <c r="J105" s="17"/>
      <c r="K105" s="26" t="s">
        <v>1015</v>
      </c>
      <c r="L105" s="91"/>
      <c r="M105" s="66" t="s">
        <v>963</v>
      </c>
      <c r="N105" s="5" t="s">
        <v>122</v>
      </c>
      <c r="O105" s="66" t="s">
        <v>965</v>
      </c>
      <c r="P105" s="66">
        <v>4</v>
      </c>
    </row>
    <row r="106" spans="1:16" ht="14.25" customHeight="1">
      <c r="A106" s="10" t="s">
        <v>1021</v>
      </c>
      <c r="B106" s="17" t="s">
        <v>200</v>
      </c>
      <c r="C106" s="20" t="s">
        <v>46</v>
      </c>
      <c r="D106" s="20"/>
      <c r="E106" s="20"/>
      <c r="F106" s="51" t="s">
        <v>1017</v>
      </c>
      <c r="G106" s="51" t="s">
        <v>104</v>
      </c>
      <c r="H106" s="17" t="s">
        <v>1014</v>
      </c>
      <c r="I106" s="17" t="s">
        <v>49</v>
      </c>
      <c r="J106" s="17"/>
      <c r="K106" s="26" t="s">
        <v>1015</v>
      </c>
      <c r="L106" s="91"/>
      <c r="M106" s="66" t="s">
        <v>963</v>
      </c>
      <c r="N106" s="5" t="s">
        <v>101</v>
      </c>
      <c r="O106" s="66" t="s">
        <v>965</v>
      </c>
      <c r="P106" s="66">
        <v>4</v>
      </c>
    </row>
  </sheetData>
  <pageMargins left="0.7" right="0.7" top="0.75" bottom="0.75"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93"/>
  <sheetViews>
    <sheetView topLeftCell="A3" zoomScaleNormal="100" workbookViewId="0">
      <pane xSplit="1" topLeftCell="B1" activePane="topRight" state="frozen"/>
      <selection activeCell="A67" sqref="A67"/>
      <selection pane="topRight" activeCell="H8" sqref="H8"/>
    </sheetView>
  </sheetViews>
  <sheetFormatPr defaultColWidth="9.140625" defaultRowHeight="15"/>
  <cols>
    <col min="1" max="1" width="31.140625" customWidth="1"/>
    <col min="4" max="5" width="18.5703125" style="45" customWidth="1"/>
    <col min="6" max="6" width="14.85546875" customWidth="1"/>
    <col min="7" max="7" width="26.42578125" style="64" customWidth="1"/>
    <col min="8" max="8" width="30.7109375" customWidth="1"/>
    <col min="9" max="9" width="11.42578125" customWidth="1"/>
    <col min="10" max="10" width="26.140625" customWidth="1"/>
    <col min="11" max="11" width="61.42578125" style="107" customWidth="1"/>
    <col min="12" max="12" width="52.42578125" customWidth="1"/>
    <col min="13" max="13" width="24.85546875" customWidth="1"/>
    <col min="14" max="14" width="12.5703125" customWidth="1"/>
    <col min="15" max="15" width="16.7109375" customWidth="1"/>
  </cols>
  <sheetData>
    <row r="1" spans="1:16" s="1" customFormat="1" ht="26.25" customHeight="1">
      <c r="A1" s="3" t="s">
        <v>30</v>
      </c>
      <c r="B1" s="9" t="s">
        <v>1</v>
      </c>
      <c r="C1" s="9" t="s">
        <v>31</v>
      </c>
      <c r="D1" s="9" t="s">
        <v>32</v>
      </c>
      <c r="E1" s="9" t="s">
        <v>33</v>
      </c>
      <c r="F1" s="9" t="s">
        <v>34</v>
      </c>
      <c r="G1" s="9" t="s">
        <v>3</v>
      </c>
      <c r="H1" s="3" t="s">
        <v>35</v>
      </c>
      <c r="I1" s="3" t="s">
        <v>36</v>
      </c>
      <c r="J1" s="3" t="s">
        <v>37</v>
      </c>
      <c r="K1" s="3" t="s">
        <v>38</v>
      </c>
      <c r="L1" s="3" t="s">
        <v>1022</v>
      </c>
      <c r="M1" s="9" t="s">
        <v>40</v>
      </c>
      <c r="N1" s="9" t="s">
        <v>41</v>
      </c>
      <c r="O1" s="9" t="s">
        <v>42</v>
      </c>
      <c r="P1" s="9" t="s">
        <v>43</v>
      </c>
    </row>
    <row r="2" spans="1:16">
      <c r="A2" s="67" t="s">
        <v>1023</v>
      </c>
      <c r="B2" s="14" t="s">
        <v>14</v>
      </c>
      <c r="C2" s="8" t="s">
        <v>46</v>
      </c>
      <c r="D2" s="14"/>
      <c r="E2" s="14"/>
      <c r="F2" s="14">
        <v>200</v>
      </c>
      <c r="G2" s="14" t="s">
        <v>1024</v>
      </c>
      <c r="H2" s="14"/>
      <c r="I2" s="14" t="s">
        <v>49</v>
      </c>
      <c r="J2" s="108"/>
      <c r="K2" s="14"/>
      <c r="L2" s="14">
        <v>200</v>
      </c>
      <c r="M2" s="66" t="s">
        <v>1025</v>
      </c>
      <c r="N2" s="5" t="s">
        <v>71</v>
      </c>
      <c r="O2" s="14" t="s">
        <v>52</v>
      </c>
      <c r="P2" s="14"/>
    </row>
    <row r="3" spans="1:16" s="1" customFormat="1" ht="23.25" customHeight="1">
      <c r="A3" s="10" t="s">
        <v>1026</v>
      </c>
      <c r="B3" s="8" t="s">
        <v>17</v>
      </c>
      <c r="C3" s="8" t="s">
        <v>46</v>
      </c>
      <c r="D3" s="14"/>
      <c r="E3" s="14"/>
      <c r="F3" s="52">
        <f>SUM(F15,F18,F21,F24,F27,F30,F33,F36,F39,F42,F47,F50,F53)</f>
        <v>8751.6116205773851</v>
      </c>
      <c r="G3" s="8" t="s">
        <v>1027</v>
      </c>
      <c r="H3" s="8"/>
      <c r="I3" s="14" t="s">
        <v>49</v>
      </c>
      <c r="J3" s="2" t="s">
        <v>1028</v>
      </c>
      <c r="K3" s="35" t="s">
        <v>1029</v>
      </c>
      <c r="L3" s="8">
        <v>7363</v>
      </c>
      <c r="M3" s="66" t="s">
        <v>1025</v>
      </c>
      <c r="N3" s="5" t="s">
        <v>57</v>
      </c>
      <c r="O3" s="14" t="s">
        <v>52</v>
      </c>
      <c r="P3" s="14"/>
    </row>
    <row r="4" spans="1:16" s="1" customFormat="1">
      <c r="A4" s="10" t="s">
        <v>1030</v>
      </c>
      <c r="B4" s="8" t="s">
        <v>17</v>
      </c>
      <c r="C4" s="8" t="s">
        <v>46</v>
      </c>
      <c r="D4" s="14"/>
      <c r="E4" s="14"/>
      <c r="F4" s="8">
        <f>SUM(F14:F43,F47:F54)</f>
        <v>34084.065120622952</v>
      </c>
      <c r="G4" s="8" t="s">
        <v>1027</v>
      </c>
      <c r="H4" s="8"/>
      <c r="I4" s="14" t="s">
        <v>49</v>
      </c>
      <c r="J4" s="87"/>
      <c r="K4" s="12" t="s">
        <v>1031</v>
      </c>
      <c r="L4" s="8" t="s">
        <v>1032</v>
      </c>
      <c r="M4" s="66" t="s">
        <v>1025</v>
      </c>
      <c r="N4" s="5" t="s">
        <v>57</v>
      </c>
      <c r="O4" s="14" t="s">
        <v>52</v>
      </c>
      <c r="P4" s="14"/>
    </row>
    <row r="5" spans="1:16" s="1" customFormat="1" ht="24">
      <c r="A5" s="10" t="s">
        <v>1033</v>
      </c>
      <c r="B5" s="12"/>
      <c r="C5" s="8" t="s">
        <v>46</v>
      </c>
      <c r="D5" s="14"/>
      <c r="E5" s="14"/>
      <c r="F5" s="8" t="s">
        <v>1186</v>
      </c>
      <c r="G5" s="8" t="s">
        <v>1187</v>
      </c>
      <c r="H5" s="8" t="s">
        <v>1035</v>
      </c>
      <c r="I5" s="14" t="s">
        <v>49</v>
      </c>
      <c r="J5" s="109"/>
      <c r="K5" s="8" t="s">
        <v>1036</v>
      </c>
      <c r="L5" s="8" t="s">
        <v>1034</v>
      </c>
      <c r="M5" s="66" t="s">
        <v>1025</v>
      </c>
      <c r="N5" s="5" t="s">
        <v>71</v>
      </c>
      <c r="O5" s="14" t="s">
        <v>52</v>
      </c>
      <c r="P5" s="14">
        <v>2</v>
      </c>
    </row>
    <row r="6" spans="1:16" s="1" customFormat="1">
      <c r="A6" s="10" t="s">
        <v>1037</v>
      </c>
      <c r="B6" s="8" t="s">
        <v>17</v>
      </c>
      <c r="C6" s="8" t="s">
        <v>46</v>
      </c>
      <c r="D6" s="14"/>
      <c r="E6" s="14"/>
      <c r="F6" s="52">
        <f>SUM(F16+F19+F22+F25+F28+F31+F34+F37+F40+F43+F48+F51+F54)</f>
        <v>25271.303751033935</v>
      </c>
      <c r="G6" s="8" t="s">
        <v>1027</v>
      </c>
      <c r="H6" s="12"/>
      <c r="I6" s="14" t="s">
        <v>49</v>
      </c>
      <c r="J6" s="2" t="s">
        <v>1038</v>
      </c>
      <c r="K6" s="8"/>
      <c r="L6" s="8">
        <v>16700</v>
      </c>
      <c r="M6" s="66" t="s">
        <v>1025</v>
      </c>
      <c r="N6" s="5" t="s">
        <v>57</v>
      </c>
      <c r="O6" s="14" t="s">
        <v>52</v>
      </c>
      <c r="P6" s="14"/>
    </row>
    <row r="7" spans="1:16">
      <c r="A7" s="67" t="s">
        <v>1039</v>
      </c>
      <c r="B7" s="14" t="s">
        <v>14</v>
      </c>
      <c r="C7" s="8" t="s">
        <v>46</v>
      </c>
      <c r="D7" s="14"/>
      <c r="E7" s="14"/>
      <c r="F7" s="14">
        <v>250</v>
      </c>
      <c r="G7" s="14" t="s">
        <v>1024</v>
      </c>
      <c r="H7" s="59"/>
      <c r="I7" s="14" t="s">
        <v>49</v>
      </c>
      <c r="J7" s="108"/>
      <c r="K7" s="14"/>
      <c r="L7" s="14">
        <v>250</v>
      </c>
      <c r="M7" s="66" t="s">
        <v>1025</v>
      </c>
      <c r="N7" s="5" t="s">
        <v>57</v>
      </c>
      <c r="O7" s="14" t="s">
        <v>52</v>
      </c>
      <c r="P7" s="14"/>
    </row>
    <row r="8" spans="1:16">
      <c r="A8" s="67" t="s">
        <v>1040</v>
      </c>
      <c r="B8" s="17"/>
      <c r="C8" s="8" t="s">
        <v>46</v>
      </c>
      <c r="D8" s="14"/>
      <c r="E8" s="14"/>
      <c r="F8" s="110">
        <v>0.85</v>
      </c>
      <c r="G8" s="111" t="s">
        <v>1041</v>
      </c>
      <c r="H8" s="111" t="s">
        <v>1042</v>
      </c>
      <c r="I8" s="14" t="s">
        <v>49</v>
      </c>
      <c r="J8" s="112"/>
      <c r="K8" s="110"/>
      <c r="L8" s="110">
        <v>0.85</v>
      </c>
      <c r="M8" s="66" t="s">
        <v>1025</v>
      </c>
      <c r="N8" s="5" t="s">
        <v>51</v>
      </c>
      <c r="O8" s="14" t="s">
        <v>52</v>
      </c>
      <c r="P8" s="14">
        <v>2</v>
      </c>
    </row>
    <row r="9" spans="1:16">
      <c r="A9" s="120" t="s">
        <v>1172</v>
      </c>
      <c r="B9" s="8" t="s">
        <v>918</v>
      </c>
      <c r="C9" s="8" t="s">
        <v>46</v>
      </c>
      <c r="D9" s="69"/>
      <c r="E9" s="69"/>
      <c r="F9" s="110">
        <v>42</v>
      </c>
      <c r="G9" s="111" t="s">
        <v>1024</v>
      </c>
      <c r="H9" s="111"/>
      <c r="I9" s="14" t="s">
        <v>49</v>
      </c>
      <c r="J9" s="112"/>
      <c r="K9" s="110"/>
      <c r="L9" s="110">
        <v>37</v>
      </c>
      <c r="M9" s="66" t="s">
        <v>1025</v>
      </c>
      <c r="N9" s="5" t="s">
        <v>71</v>
      </c>
      <c r="O9" s="14" t="s">
        <v>52</v>
      </c>
      <c r="P9" s="69"/>
    </row>
    <row r="10" spans="1:16" s="1" customFormat="1" ht="26.25" customHeight="1">
      <c r="A10" s="28" t="s">
        <v>1043</v>
      </c>
      <c r="B10" s="3" t="s">
        <v>1</v>
      </c>
      <c r="C10" s="3" t="s">
        <v>31</v>
      </c>
      <c r="D10" s="9" t="s">
        <v>32</v>
      </c>
      <c r="E10" s="9" t="s">
        <v>33</v>
      </c>
      <c r="F10" s="3" t="s">
        <v>34</v>
      </c>
      <c r="G10" s="3" t="s">
        <v>3</v>
      </c>
      <c r="H10" s="3" t="s">
        <v>35</v>
      </c>
      <c r="I10" s="3" t="s">
        <v>36</v>
      </c>
      <c r="J10" s="3" t="s">
        <v>37</v>
      </c>
      <c r="K10" s="3" t="s">
        <v>38</v>
      </c>
      <c r="L10" s="3" t="s">
        <v>1022</v>
      </c>
      <c r="M10" s="3" t="s">
        <v>40</v>
      </c>
      <c r="N10" s="9" t="s">
        <v>41</v>
      </c>
      <c r="O10" s="9" t="s">
        <v>42</v>
      </c>
      <c r="P10" s="9" t="s">
        <v>43</v>
      </c>
    </row>
    <row r="11" spans="1:16">
      <c r="A11" s="67" t="s">
        <v>1044</v>
      </c>
      <c r="B11" s="14" t="s">
        <v>14</v>
      </c>
      <c r="C11" s="17" t="s">
        <v>46</v>
      </c>
      <c r="D11" s="14"/>
      <c r="E11" s="14"/>
      <c r="F11" s="14">
        <v>-250</v>
      </c>
      <c r="G11" s="17" t="s">
        <v>104</v>
      </c>
      <c r="H11" s="14" t="s">
        <v>1045</v>
      </c>
      <c r="I11" s="14" t="s">
        <v>49</v>
      </c>
      <c r="J11" s="14"/>
      <c r="K11" s="14"/>
      <c r="L11" s="14">
        <v>250</v>
      </c>
      <c r="M11" s="66" t="s">
        <v>1025</v>
      </c>
      <c r="N11" s="5" t="s">
        <v>57</v>
      </c>
      <c r="O11" s="66" t="s">
        <v>132</v>
      </c>
      <c r="P11" s="66">
        <v>2</v>
      </c>
    </row>
    <row r="12" spans="1:16" s="1" customFormat="1">
      <c r="A12" s="67" t="s">
        <v>1046</v>
      </c>
      <c r="B12" s="14" t="s">
        <v>14</v>
      </c>
      <c r="C12" s="17" t="s">
        <v>46</v>
      </c>
      <c r="D12" s="14"/>
      <c r="E12" s="14"/>
      <c r="F12" s="17">
        <v>300</v>
      </c>
      <c r="G12" s="17" t="s">
        <v>104</v>
      </c>
      <c r="H12" s="14" t="s">
        <v>1045</v>
      </c>
      <c r="I12" s="14" t="s">
        <v>49</v>
      </c>
      <c r="J12" s="5"/>
      <c r="K12" s="17"/>
      <c r="L12" s="17">
        <v>300</v>
      </c>
      <c r="M12" s="66" t="s">
        <v>1025</v>
      </c>
      <c r="N12" s="5" t="s">
        <v>57</v>
      </c>
      <c r="O12" s="14" t="s">
        <v>132</v>
      </c>
      <c r="P12" s="14">
        <v>2</v>
      </c>
    </row>
    <row r="13" spans="1:16" s="1" customFormat="1" ht="26.25" customHeight="1">
      <c r="A13" s="28" t="s">
        <v>1047</v>
      </c>
      <c r="B13" s="3" t="s">
        <v>1</v>
      </c>
      <c r="C13" s="3" t="s">
        <v>31</v>
      </c>
      <c r="D13" s="9" t="s">
        <v>32</v>
      </c>
      <c r="E13" s="9" t="s">
        <v>33</v>
      </c>
      <c r="F13" s="3" t="s">
        <v>34</v>
      </c>
      <c r="G13" s="3" t="s">
        <v>3</v>
      </c>
      <c r="H13" s="3" t="s">
        <v>35</v>
      </c>
      <c r="I13" s="3" t="s">
        <v>36</v>
      </c>
      <c r="J13" s="3" t="s">
        <v>37</v>
      </c>
      <c r="K13" s="3" t="s">
        <v>38</v>
      </c>
      <c r="L13" s="3" t="s">
        <v>1022</v>
      </c>
      <c r="M13" s="3" t="s">
        <v>40</v>
      </c>
      <c r="N13" s="9" t="s">
        <v>41</v>
      </c>
      <c r="O13" s="9" t="s">
        <v>42</v>
      </c>
      <c r="P13" s="9" t="s">
        <v>43</v>
      </c>
    </row>
    <row r="14" spans="1:16" s="1" customFormat="1" ht="12">
      <c r="A14" s="30" t="s">
        <v>1048</v>
      </c>
      <c r="B14" s="5" t="s">
        <v>918</v>
      </c>
      <c r="C14" s="17" t="s">
        <v>46</v>
      </c>
      <c r="D14" s="14">
        <v>14.5</v>
      </c>
      <c r="E14" s="14">
        <v>19</v>
      </c>
      <c r="F14" s="7">
        <f>Patient!C12*Patient!C4/1.03</f>
        <v>15.69902912621359</v>
      </c>
      <c r="G14" s="17" t="s">
        <v>270</v>
      </c>
      <c r="H14" s="26" t="s">
        <v>1049</v>
      </c>
      <c r="I14" s="26" t="s">
        <v>49</v>
      </c>
      <c r="J14" s="17"/>
      <c r="K14" s="33" t="s">
        <v>1050</v>
      </c>
      <c r="L14" s="5">
        <v>3140</v>
      </c>
      <c r="M14" s="5" t="s">
        <v>1051</v>
      </c>
      <c r="N14" s="5" t="s">
        <v>51</v>
      </c>
      <c r="O14" s="14" t="s">
        <v>1052</v>
      </c>
      <c r="P14" s="14"/>
    </row>
    <row r="15" spans="1:16" s="1" customFormat="1" ht="12">
      <c r="A15" s="30" t="s">
        <v>1053</v>
      </c>
      <c r="B15" s="5" t="s">
        <v>17</v>
      </c>
      <c r="C15" s="17" t="s">
        <v>46</v>
      </c>
      <c r="D15" s="14"/>
      <c r="E15" s="14"/>
      <c r="F15" s="7">
        <f>F14*0.135*1000</f>
        <v>2119.3689320388348</v>
      </c>
      <c r="G15" s="17" t="s">
        <v>1027</v>
      </c>
      <c r="H15" s="26" t="s">
        <v>1049</v>
      </c>
      <c r="I15" s="26" t="s">
        <v>49</v>
      </c>
      <c r="J15" s="17"/>
      <c r="K15" s="33" t="s">
        <v>1050</v>
      </c>
      <c r="L15" s="5">
        <v>3140</v>
      </c>
      <c r="M15" s="5" t="s">
        <v>1051</v>
      </c>
      <c r="N15" s="5" t="s">
        <v>71</v>
      </c>
      <c r="O15" s="14" t="s">
        <v>357</v>
      </c>
      <c r="P15" s="14"/>
    </row>
    <row r="16" spans="1:16" s="1" customFormat="1" ht="12">
      <c r="A16" s="30" t="s">
        <v>1054</v>
      </c>
      <c r="B16" s="5" t="s">
        <v>17</v>
      </c>
      <c r="C16" s="17" t="s">
        <v>46</v>
      </c>
      <c r="D16" s="14"/>
      <c r="E16" s="14"/>
      <c r="F16" s="7">
        <f>F14*0.017*1000</f>
        <v>266.88349514563106</v>
      </c>
      <c r="G16" s="17" t="s">
        <v>1027</v>
      </c>
      <c r="H16" s="26" t="s">
        <v>1049</v>
      </c>
      <c r="I16" s="26" t="s">
        <v>49</v>
      </c>
      <c r="J16" s="17"/>
      <c r="K16" s="33" t="s">
        <v>1050</v>
      </c>
      <c r="L16" s="5">
        <v>3140</v>
      </c>
      <c r="M16" s="5" t="s">
        <v>1051</v>
      </c>
      <c r="N16" s="5" t="s">
        <v>71</v>
      </c>
      <c r="O16" s="14" t="s">
        <v>357</v>
      </c>
      <c r="P16" s="14"/>
    </row>
    <row r="17" spans="1:16" s="1" customFormat="1" ht="12">
      <c r="A17" s="30" t="s">
        <v>1055</v>
      </c>
      <c r="B17" s="5" t="s">
        <v>918</v>
      </c>
      <c r="C17" s="17" t="s">
        <v>46</v>
      </c>
      <c r="D17" s="14">
        <v>10.5</v>
      </c>
      <c r="E17" s="14">
        <v>7.8</v>
      </c>
      <c r="F17" s="7">
        <f>(IF(Patient!C2="Male",D17,E17)/1.3)*(Patient!C13/Patient!C17)</f>
        <v>8.0769230769230766</v>
      </c>
      <c r="G17" s="17" t="s">
        <v>270</v>
      </c>
      <c r="H17" s="26" t="s">
        <v>1049</v>
      </c>
      <c r="I17" s="26" t="s">
        <v>49</v>
      </c>
      <c r="J17" s="17"/>
      <c r="K17" s="33" t="s">
        <v>1056</v>
      </c>
      <c r="L17" s="5">
        <v>2680</v>
      </c>
      <c r="M17" s="5" t="s">
        <v>1051</v>
      </c>
      <c r="N17" s="5" t="s">
        <v>51</v>
      </c>
      <c r="O17" s="14" t="s">
        <v>1052</v>
      </c>
      <c r="P17" s="14"/>
    </row>
    <row r="18" spans="1:16" s="1" customFormat="1" ht="12">
      <c r="A18" s="30" t="s">
        <v>1057</v>
      </c>
      <c r="B18" s="5" t="s">
        <v>17</v>
      </c>
      <c r="C18" s="17" t="s">
        <v>46</v>
      </c>
      <c r="D18" s="14"/>
      <c r="E18" s="14"/>
      <c r="F18" s="7">
        <f>F17*0.1*1000</f>
        <v>807.69230769230774</v>
      </c>
      <c r="G18" s="17" t="s">
        <v>1027</v>
      </c>
      <c r="H18" s="26" t="s">
        <v>1049</v>
      </c>
      <c r="I18" s="26" t="s">
        <v>49</v>
      </c>
      <c r="J18" s="17"/>
      <c r="K18" s="33" t="s">
        <v>1056</v>
      </c>
      <c r="L18" s="5">
        <v>2680</v>
      </c>
      <c r="M18" s="5" t="s">
        <v>1051</v>
      </c>
      <c r="N18" s="5" t="s">
        <v>71</v>
      </c>
      <c r="O18" s="14" t="s">
        <v>357</v>
      </c>
      <c r="P18" s="14"/>
    </row>
    <row r="19" spans="1:16" s="1" customFormat="1" ht="12">
      <c r="A19" s="30" t="s">
        <v>1058</v>
      </c>
      <c r="B19" s="5" t="s">
        <v>17</v>
      </c>
      <c r="C19" s="17" t="s">
        <v>46</v>
      </c>
      <c r="D19" s="14"/>
      <c r="E19" s="14"/>
      <c r="F19" s="7">
        <f>F17*0.346*1000</f>
        <v>2794.6153846153843</v>
      </c>
      <c r="G19" s="17" t="s">
        <v>1027</v>
      </c>
      <c r="H19" s="26" t="s">
        <v>1049</v>
      </c>
      <c r="I19" s="26" t="s">
        <v>49</v>
      </c>
      <c r="J19" s="17"/>
      <c r="K19" s="33" t="s">
        <v>1056</v>
      </c>
      <c r="L19" s="5">
        <v>2680</v>
      </c>
      <c r="M19" s="5" t="s">
        <v>1051</v>
      </c>
      <c r="N19" s="5" t="s">
        <v>71</v>
      </c>
      <c r="O19" s="14" t="s">
        <v>357</v>
      </c>
      <c r="P19" s="14"/>
    </row>
    <row r="20" spans="1:16" s="1" customFormat="1" ht="12">
      <c r="A20" s="30" t="s">
        <v>1059</v>
      </c>
      <c r="B20" s="5" t="s">
        <v>918</v>
      </c>
      <c r="C20" s="17" t="s">
        <v>46</v>
      </c>
      <c r="D20" s="14">
        <v>1.45</v>
      </c>
      <c r="E20" s="14">
        <v>1.3</v>
      </c>
      <c r="F20" s="7">
        <f>(IF(Patient!C2="Male",D20,E20)/1)*(Patient!C13/Patient!C17)</f>
        <v>1.45</v>
      </c>
      <c r="G20" s="17" t="s">
        <v>270</v>
      </c>
      <c r="H20" s="26" t="s">
        <v>1049</v>
      </c>
      <c r="I20" s="26" t="s">
        <v>49</v>
      </c>
      <c r="J20" s="17"/>
      <c r="K20" s="33" t="s">
        <v>1060</v>
      </c>
      <c r="L20" s="5">
        <v>1020</v>
      </c>
      <c r="M20" s="5" t="s">
        <v>1051</v>
      </c>
      <c r="N20" s="5" t="s">
        <v>51</v>
      </c>
      <c r="O20" s="14" t="s">
        <v>1052</v>
      </c>
      <c r="P20" s="14"/>
    </row>
    <row r="21" spans="1:16" s="1" customFormat="1" ht="12">
      <c r="A21" s="30" t="s">
        <v>1061</v>
      </c>
      <c r="B21" s="5" t="s">
        <v>17</v>
      </c>
      <c r="C21" s="17" t="s">
        <v>46</v>
      </c>
      <c r="D21" s="14"/>
      <c r="E21" s="14"/>
      <c r="F21" s="7">
        <f>F20*0.162*1000</f>
        <v>234.9</v>
      </c>
      <c r="G21" s="17" t="s">
        <v>1027</v>
      </c>
      <c r="H21" s="26" t="s">
        <v>1049</v>
      </c>
      <c r="I21" s="26" t="s">
        <v>49</v>
      </c>
      <c r="J21" s="17"/>
      <c r="K21" s="33" t="s">
        <v>1060</v>
      </c>
      <c r="L21" s="5">
        <v>1020</v>
      </c>
      <c r="M21" s="5" t="s">
        <v>1051</v>
      </c>
      <c r="N21" s="5" t="s">
        <v>71</v>
      </c>
      <c r="O21" s="14" t="s">
        <v>357</v>
      </c>
      <c r="P21" s="14"/>
    </row>
    <row r="22" spans="1:16" s="1" customFormat="1" ht="12">
      <c r="A22" s="30" t="s">
        <v>1062</v>
      </c>
      <c r="B22" s="5" t="s">
        <v>17</v>
      </c>
      <c r="C22" s="17" t="s">
        <v>46</v>
      </c>
      <c r="D22" s="14"/>
      <c r="E22" s="14"/>
      <c r="F22" s="7">
        <f>F20*0.62*1000</f>
        <v>899</v>
      </c>
      <c r="G22" s="17" t="s">
        <v>1027</v>
      </c>
      <c r="H22" s="26" t="s">
        <v>1049</v>
      </c>
      <c r="I22" s="26" t="s">
        <v>49</v>
      </c>
      <c r="J22" s="17"/>
      <c r="K22" s="33" t="s">
        <v>1060</v>
      </c>
      <c r="L22" s="5">
        <v>1020</v>
      </c>
      <c r="M22" s="5" t="s">
        <v>1051</v>
      </c>
      <c r="N22" s="5" t="s">
        <v>71</v>
      </c>
      <c r="O22" s="14" t="s">
        <v>357</v>
      </c>
      <c r="P22" s="14"/>
    </row>
    <row r="23" spans="1:16" s="1" customFormat="1" ht="12">
      <c r="A23" s="30" t="s">
        <v>1063</v>
      </c>
      <c r="B23" s="5" t="s">
        <v>918</v>
      </c>
      <c r="C23" s="17" t="s">
        <v>46</v>
      </c>
      <c r="D23" s="14">
        <v>1.02</v>
      </c>
      <c r="E23" s="14">
        <v>0.96</v>
      </c>
      <c r="F23" s="7">
        <f>(IF(Patient!C2="Male",D23,E23)/1)*(Patient!C13/Patient!C17)</f>
        <v>1.02</v>
      </c>
      <c r="G23" s="17" t="s">
        <v>270</v>
      </c>
      <c r="H23" s="26" t="s">
        <v>1049</v>
      </c>
      <c r="I23" s="26" t="s">
        <v>49</v>
      </c>
      <c r="J23" s="17"/>
      <c r="K23" s="33" t="s">
        <v>1060</v>
      </c>
      <c r="L23" s="5">
        <v>730</v>
      </c>
      <c r="M23" s="5" t="s">
        <v>1051</v>
      </c>
      <c r="N23" s="5" t="s">
        <v>51</v>
      </c>
      <c r="O23" s="14" t="s">
        <v>1052</v>
      </c>
      <c r="P23" s="14"/>
    </row>
    <row r="24" spans="1:16" s="1" customFormat="1" ht="12">
      <c r="A24" s="30" t="s">
        <v>1064</v>
      </c>
      <c r="B24" s="5" t="s">
        <v>17</v>
      </c>
      <c r="C24" s="17" t="s">
        <v>46</v>
      </c>
      <c r="D24" s="14"/>
      <c r="E24" s="14"/>
      <c r="F24" s="7">
        <f>F23*0.282*1000</f>
        <v>287.63999999999993</v>
      </c>
      <c r="G24" s="17" t="s">
        <v>1027</v>
      </c>
      <c r="H24" s="26" t="s">
        <v>1049</v>
      </c>
      <c r="I24" s="26" t="s">
        <v>49</v>
      </c>
      <c r="J24" s="17"/>
      <c r="K24" s="33" t="s">
        <v>1060</v>
      </c>
      <c r="L24" s="5">
        <v>730</v>
      </c>
      <c r="M24" s="5" t="s">
        <v>1051</v>
      </c>
      <c r="N24" s="5" t="s">
        <v>71</v>
      </c>
      <c r="O24" s="14" t="s">
        <v>357</v>
      </c>
      <c r="P24" s="14"/>
    </row>
    <row r="25" spans="1:16" s="1" customFormat="1" ht="12">
      <c r="A25" s="30" t="s">
        <v>1065</v>
      </c>
      <c r="B25" s="5" t="s">
        <v>17</v>
      </c>
      <c r="C25" s="17" t="s">
        <v>46</v>
      </c>
      <c r="D25" s="14"/>
      <c r="E25" s="14"/>
      <c r="F25" s="7">
        <f>F23*0.475*1000</f>
        <v>484.5</v>
      </c>
      <c r="G25" s="17" t="s">
        <v>1027</v>
      </c>
      <c r="H25" s="26" t="s">
        <v>1049</v>
      </c>
      <c r="I25" s="26" t="s">
        <v>49</v>
      </c>
      <c r="J25" s="17"/>
      <c r="K25" s="33" t="s">
        <v>1060</v>
      </c>
      <c r="L25" s="5">
        <v>730</v>
      </c>
      <c r="M25" s="5" t="s">
        <v>1051</v>
      </c>
      <c r="N25" s="5" t="s">
        <v>71</v>
      </c>
      <c r="O25" s="14" t="s">
        <v>357</v>
      </c>
      <c r="P25" s="14"/>
    </row>
    <row r="26" spans="1:16" s="1" customFormat="1" ht="12">
      <c r="A26" s="30" t="s">
        <v>1066</v>
      </c>
      <c r="B26" s="5" t="s">
        <v>918</v>
      </c>
      <c r="C26" s="17" t="s">
        <v>46</v>
      </c>
      <c r="D26" s="14">
        <v>0.155</v>
      </c>
      <c r="E26" s="14">
        <v>0.13750000000000001</v>
      </c>
      <c r="F26" s="7">
        <f>(IF(Patient!C2="Male",D26,E26)/1)*(Patient!C13/Patient!C17)</f>
        <v>0.155</v>
      </c>
      <c r="G26" s="17" t="s">
        <v>270</v>
      </c>
      <c r="H26" s="26" t="s">
        <v>1049</v>
      </c>
      <c r="I26" s="26" t="s">
        <v>49</v>
      </c>
      <c r="J26" s="17"/>
      <c r="K26" s="33" t="s">
        <v>1060</v>
      </c>
      <c r="L26" s="5">
        <v>110</v>
      </c>
      <c r="M26" s="5" t="s">
        <v>1051</v>
      </c>
      <c r="N26" s="5" t="s">
        <v>51</v>
      </c>
      <c r="O26" s="14" t="s">
        <v>1052</v>
      </c>
      <c r="P26" s="14"/>
    </row>
    <row r="27" spans="1:16" s="1" customFormat="1" ht="12">
      <c r="A27" s="30" t="s">
        <v>1067</v>
      </c>
      <c r="B27" s="5" t="s">
        <v>17</v>
      </c>
      <c r="C27" s="17" t="s">
        <v>46</v>
      </c>
      <c r="D27" s="14"/>
      <c r="E27" s="14"/>
      <c r="F27" s="7">
        <f>F26*0.273*1000</f>
        <v>42.315000000000005</v>
      </c>
      <c r="G27" s="17" t="s">
        <v>1027</v>
      </c>
      <c r="H27" s="26" t="s">
        <v>1049</v>
      </c>
      <c r="I27" s="26" t="s">
        <v>49</v>
      </c>
      <c r="J27" s="17"/>
      <c r="K27" s="33" t="s">
        <v>1060</v>
      </c>
      <c r="L27" s="5">
        <v>110</v>
      </c>
      <c r="M27" s="5" t="s">
        <v>1051</v>
      </c>
      <c r="N27" s="5" t="s">
        <v>71</v>
      </c>
      <c r="O27" s="14" t="s">
        <v>357</v>
      </c>
      <c r="P27" s="14"/>
    </row>
    <row r="28" spans="1:16" s="1" customFormat="1" ht="12">
      <c r="A28" s="30" t="s">
        <v>1068</v>
      </c>
      <c r="B28" s="5" t="s">
        <v>17</v>
      </c>
      <c r="C28" s="17" t="s">
        <v>46</v>
      </c>
      <c r="D28" s="14"/>
      <c r="E28" s="14"/>
      <c r="F28" s="7">
        <f>F26*0.483*1000</f>
        <v>74.864999999999995</v>
      </c>
      <c r="G28" s="17" t="s">
        <v>1027</v>
      </c>
      <c r="H28" s="26" t="s">
        <v>1049</v>
      </c>
      <c r="I28" s="26" t="s">
        <v>49</v>
      </c>
      <c r="J28" s="17"/>
      <c r="K28" s="33" t="s">
        <v>1060</v>
      </c>
      <c r="L28" s="5">
        <v>110</v>
      </c>
      <c r="M28" s="5" t="s">
        <v>1051</v>
      </c>
      <c r="N28" s="5" t="s">
        <v>71</v>
      </c>
      <c r="O28" s="14" t="s">
        <v>357</v>
      </c>
      <c r="P28" s="14"/>
    </row>
    <row r="29" spans="1:16" s="1" customFormat="1" ht="12">
      <c r="A29" s="30" t="s">
        <v>1069</v>
      </c>
      <c r="B29" s="5" t="s">
        <v>918</v>
      </c>
      <c r="C29" s="17" t="s">
        <v>46</v>
      </c>
      <c r="D29" s="14">
        <v>0.155</v>
      </c>
      <c r="E29" s="14">
        <v>0.13750000000000001</v>
      </c>
      <c r="F29" s="7">
        <f>(IF(Patient!C2="Male",D29,E29)/1)*(Patient!C13/Patient!C17)</f>
        <v>0.155</v>
      </c>
      <c r="G29" s="17" t="s">
        <v>270</v>
      </c>
      <c r="H29" s="26" t="s">
        <v>1049</v>
      </c>
      <c r="I29" s="26" t="s">
        <v>49</v>
      </c>
      <c r="J29" s="17"/>
      <c r="K29" s="33" t="s">
        <v>1060</v>
      </c>
      <c r="L29" s="5">
        <v>110</v>
      </c>
      <c r="M29" s="5" t="s">
        <v>1051</v>
      </c>
      <c r="N29" s="5" t="s">
        <v>51</v>
      </c>
      <c r="O29" s="14" t="s">
        <v>1052</v>
      </c>
      <c r="P29" s="14"/>
    </row>
    <row r="30" spans="1:16" s="1" customFormat="1" ht="12">
      <c r="A30" s="30" t="s">
        <v>1070</v>
      </c>
      <c r="B30" s="5" t="s">
        <v>17</v>
      </c>
      <c r="C30" s="17" t="s">
        <v>46</v>
      </c>
      <c r="D30" s="14"/>
      <c r="E30" s="14"/>
      <c r="F30" s="7">
        <f>F26*0.273*1000</f>
        <v>42.315000000000005</v>
      </c>
      <c r="G30" s="17" t="s">
        <v>1027</v>
      </c>
      <c r="H30" s="26" t="s">
        <v>1049</v>
      </c>
      <c r="I30" s="26" t="s">
        <v>49</v>
      </c>
      <c r="J30" s="17"/>
      <c r="K30" s="33" t="s">
        <v>1060</v>
      </c>
      <c r="L30" s="5">
        <v>110</v>
      </c>
      <c r="M30" s="5" t="s">
        <v>1051</v>
      </c>
      <c r="N30" s="5" t="s">
        <v>71</v>
      </c>
      <c r="O30" s="14" t="s">
        <v>357</v>
      </c>
      <c r="P30" s="14"/>
    </row>
    <row r="31" spans="1:16" s="1" customFormat="1" ht="12">
      <c r="A31" s="30" t="s">
        <v>1071</v>
      </c>
      <c r="B31" s="5" t="s">
        <v>17</v>
      </c>
      <c r="C31" s="17" t="s">
        <v>46</v>
      </c>
      <c r="D31" s="14"/>
      <c r="E31" s="14"/>
      <c r="F31" s="7">
        <f>F26*0.483*1000</f>
        <v>74.864999999999995</v>
      </c>
      <c r="G31" s="17" t="s">
        <v>1027</v>
      </c>
      <c r="H31" s="26" t="s">
        <v>1049</v>
      </c>
      <c r="I31" s="26" t="s">
        <v>49</v>
      </c>
      <c r="J31" s="17"/>
      <c r="K31" s="33" t="s">
        <v>1060</v>
      </c>
      <c r="L31" s="5">
        <v>110</v>
      </c>
      <c r="M31" s="5" t="s">
        <v>1051</v>
      </c>
      <c r="N31" s="5" t="s">
        <v>71</v>
      </c>
      <c r="O31" s="14" t="s">
        <v>357</v>
      </c>
      <c r="P31" s="14"/>
    </row>
    <row r="32" spans="1:16" s="1" customFormat="1" ht="12">
      <c r="A32" s="30" t="s">
        <v>1072</v>
      </c>
      <c r="B32" s="5" t="s">
        <v>918</v>
      </c>
      <c r="C32" s="17" t="s">
        <v>46</v>
      </c>
      <c r="D32" s="14">
        <v>1.8</v>
      </c>
      <c r="E32" s="14">
        <v>1.4</v>
      </c>
      <c r="F32" s="7">
        <f>(IF(Patient!C2="Male",D32,E32)/1)*(Patient!C13/Patient!C17)</f>
        <v>1.8</v>
      </c>
      <c r="G32" s="17" t="s">
        <v>270</v>
      </c>
      <c r="H32" s="26" t="s">
        <v>1049</v>
      </c>
      <c r="I32" s="26" t="s">
        <v>49</v>
      </c>
      <c r="J32" s="17"/>
      <c r="K32" s="33" t="s">
        <v>1060</v>
      </c>
      <c r="L32" s="5">
        <v>1030</v>
      </c>
      <c r="M32" s="5" t="s">
        <v>1051</v>
      </c>
      <c r="N32" s="5" t="s">
        <v>51</v>
      </c>
      <c r="O32" s="14" t="s">
        <v>1052</v>
      </c>
      <c r="P32" s="14"/>
    </row>
    <row r="33" spans="1:16" s="1" customFormat="1" ht="12">
      <c r="A33" s="30" t="s">
        <v>1073</v>
      </c>
      <c r="B33" s="5" t="s">
        <v>17</v>
      </c>
      <c r="C33" s="17" t="s">
        <v>46</v>
      </c>
      <c r="D33" s="14"/>
      <c r="E33" s="14"/>
      <c r="F33" s="7">
        <f>F32*0.161*1000</f>
        <v>289.8</v>
      </c>
      <c r="G33" s="17" t="s">
        <v>1027</v>
      </c>
      <c r="H33" s="26" t="s">
        <v>1049</v>
      </c>
      <c r="I33" s="26" t="s">
        <v>49</v>
      </c>
      <c r="J33" s="17"/>
      <c r="K33" s="33" t="s">
        <v>1060</v>
      </c>
      <c r="L33" s="5">
        <v>1030</v>
      </c>
      <c r="M33" s="5" t="s">
        <v>1051</v>
      </c>
      <c r="N33" s="5" t="s">
        <v>71</v>
      </c>
      <c r="O33" s="14" t="s">
        <v>357</v>
      </c>
      <c r="P33" s="14"/>
    </row>
    <row r="34" spans="1:16" s="1" customFormat="1" ht="12">
      <c r="A34" s="30" t="s">
        <v>1074</v>
      </c>
      <c r="B34" s="5" t="s">
        <v>17</v>
      </c>
      <c r="C34" s="17" t="s">
        <v>46</v>
      </c>
      <c r="D34" s="14"/>
      <c r="E34" s="14"/>
      <c r="F34" s="7">
        <f>F32*0.573*1000</f>
        <v>1031.3999999999999</v>
      </c>
      <c r="G34" s="17" t="s">
        <v>1027</v>
      </c>
      <c r="H34" s="26" t="s">
        <v>1049</v>
      </c>
      <c r="I34" s="26" t="s">
        <v>49</v>
      </c>
      <c r="J34" s="17"/>
      <c r="K34" s="33" t="s">
        <v>1060</v>
      </c>
      <c r="L34" s="5">
        <v>1030</v>
      </c>
      <c r="M34" s="5" t="s">
        <v>1051</v>
      </c>
      <c r="N34" s="5" t="s">
        <v>71</v>
      </c>
      <c r="O34" s="14" t="s">
        <v>357</v>
      </c>
      <c r="P34" s="14"/>
    </row>
    <row r="35" spans="1:16" s="1" customFormat="1" ht="12">
      <c r="A35" s="30" t="s">
        <v>1075</v>
      </c>
      <c r="B35" s="5" t="s">
        <v>918</v>
      </c>
      <c r="C35" s="17" t="s">
        <v>46</v>
      </c>
      <c r="D35" s="14">
        <f>0.5*Patient!C9</f>
        <v>0.3</v>
      </c>
      <c r="E35" s="14">
        <f>0.5*Patient!C9</f>
        <v>0.3</v>
      </c>
      <c r="F35" s="7">
        <f>(IF(Patient!C2="Male",D35,E35)/1)*(Patient!C13/Patient!C17)</f>
        <v>0.3</v>
      </c>
      <c r="G35" s="17" t="s">
        <v>270</v>
      </c>
      <c r="H35" s="26" t="s">
        <v>1049</v>
      </c>
      <c r="I35" s="26" t="s">
        <v>49</v>
      </c>
      <c r="J35" s="17"/>
      <c r="K35" s="33" t="s">
        <v>1060</v>
      </c>
      <c r="L35" s="5">
        <v>160</v>
      </c>
      <c r="M35" s="5" t="s">
        <v>1051</v>
      </c>
      <c r="N35" s="5" t="s">
        <v>51</v>
      </c>
      <c r="O35" s="14" t="s">
        <v>1052</v>
      </c>
      <c r="P35" s="14"/>
    </row>
    <row r="36" spans="1:16" s="1" customFormat="1" ht="12">
      <c r="A36" s="30" t="s">
        <v>1076</v>
      </c>
      <c r="B36" s="5" t="s">
        <v>17</v>
      </c>
      <c r="C36" s="17" t="s">
        <v>46</v>
      </c>
      <c r="D36" s="14"/>
      <c r="E36" s="14"/>
      <c r="F36" s="7">
        <f>F35*0.336*1000</f>
        <v>100.8</v>
      </c>
      <c r="G36" s="17" t="s">
        <v>1027</v>
      </c>
      <c r="H36" s="26" t="s">
        <v>1049</v>
      </c>
      <c r="I36" s="26" t="s">
        <v>49</v>
      </c>
      <c r="J36" s="17"/>
      <c r="K36" s="33" t="s">
        <v>1060</v>
      </c>
      <c r="L36" s="5">
        <v>160</v>
      </c>
      <c r="M36" s="5" t="s">
        <v>1051</v>
      </c>
      <c r="N36" s="5" t="s">
        <v>71</v>
      </c>
      <c r="O36" s="14" t="s">
        <v>357</v>
      </c>
      <c r="P36" s="14"/>
    </row>
    <row r="37" spans="1:16" s="1" customFormat="1" ht="12">
      <c r="A37" s="30" t="s">
        <v>1077</v>
      </c>
      <c r="B37" s="5" t="s">
        <v>17</v>
      </c>
      <c r="C37" s="17" t="s">
        <v>46</v>
      </c>
      <c r="D37" s="14"/>
      <c r="E37" s="14"/>
      <c r="F37" s="7">
        <f>F35*0.446*1000</f>
        <v>133.80000000000001</v>
      </c>
      <c r="G37" s="17" t="s">
        <v>1027</v>
      </c>
      <c r="H37" s="26" t="s">
        <v>1049</v>
      </c>
      <c r="I37" s="26" t="s">
        <v>49</v>
      </c>
      <c r="J37" s="17"/>
      <c r="K37" s="33" t="s">
        <v>1060</v>
      </c>
      <c r="L37" s="5">
        <v>160</v>
      </c>
      <c r="M37" s="5" t="s">
        <v>1051</v>
      </c>
      <c r="N37" s="5" t="s">
        <v>71</v>
      </c>
      <c r="O37" s="14" t="s">
        <v>357</v>
      </c>
      <c r="P37" s="14"/>
    </row>
    <row r="38" spans="1:16" s="1" customFormat="1" ht="12">
      <c r="A38" s="30" t="s">
        <v>1078</v>
      </c>
      <c r="B38" s="5" t="s">
        <v>918</v>
      </c>
      <c r="C38" s="17" t="s">
        <v>46</v>
      </c>
      <c r="D38" s="14">
        <f>0.5*Patient!C10</f>
        <v>0.2</v>
      </c>
      <c r="E38" s="14">
        <f>0.42*Patient!C10</f>
        <v>0.16800000000000001</v>
      </c>
      <c r="F38" s="7">
        <f>(IF(Patient!C2="Male",D38,E38)/1)*(Patient!C13/Patient!C17)</f>
        <v>0.2</v>
      </c>
      <c r="G38" s="17" t="s">
        <v>270</v>
      </c>
      <c r="H38" s="26" t="s">
        <v>1049</v>
      </c>
      <c r="I38" s="26" t="s">
        <v>49</v>
      </c>
      <c r="J38" s="17"/>
      <c r="K38" s="33" t="s">
        <v>1060</v>
      </c>
      <c r="L38" s="5">
        <v>160</v>
      </c>
      <c r="M38" s="5" t="s">
        <v>1051</v>
      </c>
      <c r="N38" s="5" t="s">
        <v>51</v>
      </c>
      <c r="O38" s="14" t="s">
        <v>1052</v>
      </c>
      <c r="P38" s="14"/>
    </row>
    <row r="39" spans="1:16" s="1" customFormat="1" ht="12">
      <c r="A39" s="30" t="s">
        <v>1079</v>
      </c>
      <c r="B39" s="5" t="s">
        <v>17</v>
      </c>
      <c r="C39" s="17" t="s">
        <v>46</v>
      </c>
      <c r="D39" s="14"/>
      <c r="E39" s="14"/>
      <c r="F39" s="7">
        <f>F38*0.336*1000</f>
        <v>67.2</v>
      </c>
      <c r="G39" s="17" t="s">
        <v>1027</v>
      </c>
      <c r="H39" s="26" t="s">
        <v>1049</v>
      </c>
      <c r="I39" s="26" t="s">
        <v>49</v>
      </c>
      <c r="J39" s="17"/>
      <c r="K39" s="33" t="s">
        <v>1060</v>
      </c>
      <c r="L39" s="5">
        <v>160</v>
      </c>
      <c r="M39" s="5" t="s">
        <v>1051</v>
      </c>
      <c r="N39" s="5" t="s">
        <v>71</v>
      </c>
      <c r="O39" s="14" t="s">
        <v>357</v>
      </c>
      <c r="P39" s="14"/>
    </row>
    <row r="40" spans="1:16" s="1" customFormat="1" ht="12">
      <c r="A40" s="30" t="s">
        <v>1080</v>
      </c>
      <c r="B40" s="5" t="s">
        <v>17</v>
      </c>
      <c r="C40" s="17" t="s">
        <v>46</v>
      </c>
      <c r="D40" s="14"/>
      <c r="E40" s="14"/>
      <c r="F40" s="7">
        <f>F38*0.446*1000</f>
        <v>89.2</v>
      </c>
      <c r="G40" s="17" t="s">
        <v>1027</v>
      </c>
      <c r="H40" s="26" t="s">
        <v>1049</v>
      </c>
      <c r="I40" s="26" t="s">
        <v>49</v>
      </c>
      <c r="J40" s="17"/>
      <c r="K40" s="33" t="s">
        <v>1060</v>
      </c>
      <c r="L40" s="5">
        <v>160</v>
      </c>
      <c r="M40" s="5" t="s">
        <v>1051</v>
      </c>
      <c r="N40" s="5" t="s">
        <v>71</v>
      </c>
      <c r="O40" s="14" t="s">
        <v>357</v>
      </c>
      <c r="P40" s="14"/>
    </row>
    <row r="41" spans="1:16" s="1" customFormat="1" ht="12">
      <c r="A41" s="30" t="s">
        <v>1081</v>
      </c>
      <c r="B41" s="5" t="s">
        <v>918</v>
      </c>
      <c r="C41" s="17" t="s">
        <v>46</v>
      </c>
      <c r="D41" s="14">
        <v>29</v>
      </c>
      <c r="E41" s="14">
        <v>17.5</v>
      </c>
      <c r="F41" s="7">
        <f>(IF(Patient!C2="Male",D41,E41)/1)*(Patient!C13/Patient!C17)</f>
        <v>29</v>
      </c>
      <c r="G41" s="17" t="s">
        <v>270</v>
      </c>
      <c r="H41" s="26" t="s">
        <v>1049</v>
      </c>
      <c r="I41" s="26" t="s">
        <v>49</v>
      </c>
      <c r="J41" s="17"/>
      <c r="K41" s="33" t="s">
        <v>1060</v>
      </c>
      <c r="L41" s="5">
        <v>13090</v>
      </c>
      <c r="M41" s="5" t="s">
        <v>1051</v>
      </c>
      <c r="N41" s="5" t="s">
        <v>51</v>
      </c>
      <c r="O41" s="14" t="s">
        <v>1052</v>
      </c>
      <c r="P41" s="14"/>
    </row>
    <row r="42" spans="1:16" s="1" customFormat="1" ht="12">
      <c r="A42" s="30" t="s">
        <v>1082</v>
      </c>
      <c r="B42" s="5" t="s">
        <v>17</v>
      </c>
      <c r="C42" s="17" t="s">
        <v>46</v>
      </c>
      <c r="D42" s="14"/>
      <c r="E42" s="14"/>
      <c r="F42" s="7">
        <f>F41*0.118*1000</f>
        <v>3421.9999999999995</v>
      </c>
      <c r="G42" s="17" t="s">
        <v>1027</v>
      </c>
      <c r="H42" s="26" t="s">
        <v>1049</v>
      </c>
      <c r="I42" s="26" t="s">
        <v>49</v>
      </c>
      <c r="J42" s="17"/>
      <c r="K42" s="33" t="s">
        <v>1060</v>
      </c>
      <c r="L42" s="5">
        <v>13090</v>
      </c>
      <c r="M42" s="5" t="s">
        <v>1051</v>
      </c>
      <c r="N42" s="5" t="s">
        <v>71</v>
      </c>
      <c r="O42" s="14" t="s">
        <v>357</v>
      </c>
      <c r="P42" s="14"/>
    </row>
    <row r="43" spans="1:16" s="1" customFormat="1" ht="12">
      <c r="A43" s="30" t="s">
        <v>1083</v>
      </c>
      <c r="B43" s="5" t="s">
        <v>17</v>
      </c>
      <c r="C43" s="17" t="s">
        <v>46</v>
      </c>
      <c r="D43" s="14"/>
      <c r="E43" s="14"/>
      <c r="F43" s="7">
        <f>F41*0.63*1000</f>
        <v>18270</v>
      </c>
      <c r="G43" s="17" t="s">
        <v>1027</v>
      </c>
      <c r="H43" s="26" t="s">
        <v>1049</v>
      </c>
      <c r="I43" s="26" t="s">
        <v>49</v>
      </c>
      <c r="J43" s="17"/>
      <c r="K43" s="33" t="s">
        <v>1060</v>
      </c>
      <c r="L43" s="5">
        <v>13090</v>
      </c>
      <c r="M43" s="5" t="s">
        <v>1051</v>
      </c>
      <c r="N43" s="5" t="s">
        <v>71</v>
      </c>
      <c r="O43" s="14" t="s">
        <v>357</v>
      </c>
      <c r="P43" s="14"/>
    </row>
    <row r="44" spans="1:16">
      <c r="A44" s="30" t="s">
        <v>1084</v>
      </c>
      <c r="B44" s="18" t="s">
        <v>89</v>
      </c>
      <c r="C44" s="8" t="s">
        <v>46</v>
      </c>
      <c r="D44" s="14"/>
      <c r="E44" s="14"/>
      <c r="F44" s="52" t="s">
        <v>1085</v>
      </c>
      <c r="G44" s="17" t="s">
        <v>1086</v>
      </c>
      <c r="H44" s="17"/>
      <c r="I44" s="26" t="s">
        <v>49</v>
      </c>
      <c r="J44" s="17"/>
      <c r="K44" s="33"/>
      <c r="L44" s="21"/>
      <c r="M44" s="5" t="s">
        <v>1051</v>
      </c>
      <c r="N44" s="5" t="s">
        <v>71</v>
      </c>
      <c r="O44" s="14" t="s">
        <v>357</v>
      </c>
      <c r="P44" s="14"/>
    </row>
    <row r="45" spans="1:16">
      <c r="A45" s="30" t="s">
        <v>1087</v>
      </c>
      <c r="B45" s="18" t="s">
        <v>89</v>
      </c>
      <c r="C45" s="8" t="s">
        <v>46</v>
      </c>
      <c r="D45" s="14"/>
      <c r="E45" s="14"/>
      <c r="F45" s="113" t="s">
        <v>1088</v>
      </c>
      <c r="G45" s="17" t="s">
        <v>544</v>
      </c>
      <c r="H45" s="26"/>
      <c r="I45" s="26" t="s">
        <v>49</v>
      </c>
      <c r="J45" s="5"/>
      <c r="K45" s="33" t="s">
        <v>1089</v>
      </c>
      <c r="L45" s="4"/>
      <c r="M45" s="5" t="s">
        <v>1051</v>
      </c>
      <c r="N45" s="5" t="s">
        <v>71</v>
      </c>
      <c r="O45" s="14" t="s">
        <v>357</v>
      </c>
      <c r="P45" s="14"/>
    </row>
    <row r="46" spans="1:16" s="1" customFormat="1" ht="12">
      <c r="A46" s="30" t="s">
        <v>1090</v>
      </c>
      <c r="B46" s="5" t="s">
        <v>918</v>
      </c>
      <c r="C46" s="17" t="s">
        <v>46</v>
      </c>
      <c r="D46" s="14">
        <v>0.33</v>
      </c>
      <c r="E46" s="14">
        <v>0.25</v>
      </c>
      <c r="F46" s="7">
        <f>(IF(Patient!C2="Male",D46,E46)/1)*(Patient!C13/Patient!C17)</f>
        <v>0.33</v>
      </c>
      <c r="G46" s="17" t="s">
        <v>270</v>
      </c>
      <c r="H46" s="26" t="s">
        <v>1049</v>
      </c>
      <c r="I46" s="26" t="s">
        <v>49</v>
      </c>
      <c r="J46" s="17"/>
      <c r="K46" s="33" t="s">
        <v>1060</v>
      </c>
      <c r="L46" s="5">
        <v>190</v>
      </c>
      <c r="M46" s="5" t="s">
        <v>1051</v>
      </c>
      <c r="N46" s="5" t="s">
        <v>51</v>
      </c>
      <c r="O46" s="14" t="s">
        <v>1052</v>
      </c>
      <c r="P46" s="14"/>
    </row>
    <row r="47" spans="1:16" s="1" customFormat="1" ht="12">
      <c r="A47" s="30" t="s">
        <v>1091</v>
      </c>
      <c r="B47" s="5" t="s">
        <v>17</v>
      </c>
      <c r="C47" s="17" t="s">
        <v>46</v>
      </c>
      <c r="D47" s="14"/>
      <c r="E47" s="14"/>
      <c r="F47" s="7">
        <f>F46*0.32*1000</f>
        <v>105.60000000000001</v>
      </c>
      <c r="G47" s="17" t="s">
        <v>1027</v>
      </c>
      <c r="H47" s="26" t="s">
        <v>1049</v>
      </c>
      <c r="I47" s="26" t="s">
        <v>49</v>
      </c>
      <c r="J47" s="17"/>
      <c r="K47" s="33" t="s">
        <v>1060</v>
      </c>
      <c r="L47" s="5">
        <v>190</v>
      </c>
      <c r="M47" s="5" t="s">
        <v>1051</v>
      </c>
      <c r="N47" s="5" t="s">
        <v>71</v>
      </c>
      <c r="O47" s="14" t="s">
        <v>357</v>
      </c>
      <c r="P47" s="14"/>
    </row>
    <row r="48" spans="1:16" s="1" customFormat="1" ht="12">
      <c r="A48" s="30" t="s">
        <v>1092</v>
      </c>
      <c r="B48" s="5" t="s">
        <v>17</v>
      </c>
      <c r="C48" s="17" t="s">
        <v>46</v>
      </c>
      <c r="D48" s="14"/>
      <c r="E48" s="14"/>
      <c r="F48" s="7">
        <f>F46*0.456*1000</f>
        <v>150.47999999999999</v>
      </c>
      <c r="G48" s="17" t="s">
        <v>1027</v>
      </c>
      <c r="H48" s="26" t="s">
        <v>1049</v>
      </c>
      <c r="I48" s="26" t="s">
        <v>49</v>
      </c>
      <c r="J48" s="17"/>
      <c r="K48" s="33" t="s">
        <v>1060</v>
      </c>
      <c r="L48" s="5">
        <v>190</v>
      </c>
      <c r="M48" s="5" t="s">
        <v>1051</v>
      </c>
      <c r="N48" s="5" t="s">
        <v>71</v>
      </c>
      <c r="O48" s="14" t="s">
        <v>357</v>
      </c>
      <c r="P48" s="14"/>
    </row>
    <row r="49" spans="1:16" s="1" customFormat="1" ht="12">
      <c r="A49" s="30" t="s">
        <v>1093</v>
      </c>
      <c r="B49" s="5" t="s">
        <v>918</v>
      </c>
      <c r="C49" s="17" t="s">
        <v>46</v>
      </c>
      <c r="D49" s="14">
        <v>3.3</v>
      </c>
      <c r="E49" s="14">
        <v>2.2999999999999998</v>
      </c>
      <c r="F49" s="7">
        <f>(IF(Patient!C2="Male",D49,E49)/1)*(Patient!C5/Patient!C15)</f>
        <v>3.1437968084980175</v>
      </c>
      <c r="G49" s="17" t="s">
        <v>270</v>
      </c>
      <c r="H49" s="26" t="s">
        <v>1049</v>
      </c>
      <c r="I49" s="26" t="s">
        <v>49</v>
      </c>
      <c r="J49" s="17"/>
      <c r="K49" s="33" t="s">
        <v>1060</v>
      </c>
      <c r="L49" s="5">
        <v>1550</v>
      </c>
      <c r="M49" s="5" t="s">
        <v>1051</v>
      </c>
      <c r="N49" s="5" t="s">
        <v>51</v>
      </c>
      <c r="O49" s="14" t="s">
        <v>1052</v>
      </c>
      <c r="P49" s="14"/>
    </row>
    <row r="50" spans="1:16" s="1" customFormat="1" ht="12">
      <c r="A50" s="30" t="s">
        <v>1094</v>
      </c>
      <c r="B50" s="5" t="s">
        <v>17</v>
      </c>
      <c r="C50" s="17" t="s">
        <v>46</v>
      </c>
      <c r="D50" s="14"/>
      <c r="E50" s="14"/>
      <c r="F50" s="7">
        <f>F49*0.382*1000</f>
        <v>1200.9303808462425</v>
      </c>
      <c r="G50" s="17" t="s">
        <v>1027</v>
      </c>
      <c r="H50" s="26" t="s">
        <v>1049</v>
      </c>
      <c r="I50" s="26" t="s">
        <v>49</v>
      </c>
      <c r="J50" s="17"/>
      <c r="K50" s="33" t="s">
        <v>1060</v>
      </c>
      <c r="L50" s="5">
        <v>1550</v>
      </c>
      <c r="M50" s="5" t="s">
        <v>1051</v>
      </c>
      <c r="N50" s="5" t="s">
        <v>71</v>
      </c>
      <c r="O50" s="14" t="s">
        <v>357</v>
      </c>
      <c r="P50" s="14"/>
    </row>
    <row r="51" spans="1:16" s="1" customFormat="1" ht="12">
      <c r="A51" s="30" t="s">
        <v>1095</v>
      </c>
      <c r="B51" s="5" t="s">
        <v>17</v>
      </c>
      <c r="C51" s="17" t="s">
        <v>46</v>
      </c>
      <c r="D51" s="14"/>
      <c r="E51" s="14"/>
      <c r="F51" s="7">
        <f>F49*0.291*1000</f>
        <v>914.844871272923</v>
      </c>
      <c r="G51" s="17" t="s">
        <v>1027</v>
      </c>
      <c r="H51" s="26" t="s">
        <v>1049</v>
      </c>
      <c r="I51" s="26" t="s">
        <v>49</v>
      </c>
      <c r="J51" s="17"/>
      <c r="K51" s="33" t="s">
        <v>1060</v>
      </c>
      <c r="L51" s="5">
        <v>1550</v>
      </c>
      <c r="M51" s="5" t="s">
        <v>1051</v>
      </c>
      <c r="N51" s="5" t="s">
        <v>71</v>
      </c>
      <c r="O51" s="14" t="s">
        <v>357</v>
      </c>
      <c r="P51" s="14"/>
    </row>
    <row r="52" spans="1:16" s="1" customFormat="1" ht="12">
      <c r="A52" s="30" t="s">
        <v>1096</v>
      </c>
      <c r="B52" s="5" t="s">
        <v>918</v>
      </c>
      <c r="C52" s="17" t="s">
        <v>46</v>
      </c>
      <c r="D52" s="14">
        <v>0.15</v>
      </c>
      <c r="E52" s="14">
        <v>0.13</v>
      </c>
      <c r="F52" s="7">
        <f>(IF(Patient!C2="Male",D52,E52)/1)*(Patient!C13/Patient!C17)</f>
        <v>0.15</v>
      </c>
      <c r="G52" s="17" t="s">
        <v>270</v>
      </c>
      <c r="H52" s="26" t="s">
        <v>1049</v>
      </c>
      <c r="I52" s="26" t="s">
        <v>49</v>
      </c>
      <c r="J52" s="17"/>
      <c r="K52" s="33" t="s">
        <v>1060</v>
      </c>
      <c r="L52" s="5">
        <v>100</v>
      </c>
      <c r="M52" s="5" t="s">
        <v>1051</v>
      </c>
      <c r="N52" s="5" t="s">
        <v>51</v>
      </c>
      <c r="O52" s="14" t="s">
        <v>1052</v>
      </c>
      <c r="P52" s="14"/>
    </row>
    <row r="53" spans="1:16" s="1" customFormat="1" ht="12">
      <c r="A53" s="30" t="s">
        <v>1097</v>
      </c>
      <c r="B53" s="5" t="s">
        <v>17</v>
      </c>
      <c r="C53" s="17" t="s">
        <v>46</v>
      </c>
      <c r="D53" s="14"/>
      <c r="E53" s="14"/>
      <c r="F53" s="7">
        <f>F52*0.207*1000</f>
        <v>31.049999999999997</v>
      </c>
      <c r="G53" s="17" t="s">
        <v>1027</v>
      </c>
      <c r="H53" s="26" t="s">
        <v>1049</v>
      </c>
      <c r="I53" s="26" t="s">
        <v>49</v>
      </c>
      <c r="J53" s="17"/>
      <c r="K53" s="33" t="s">
        <v>1060</v>
      </c>
      <c r="L53" s="5">
        <v>100</v>
      </c>
      <c r="M53" s="5" t="s">
        <v>1051</v>
      </c>
      <c r="N53" s="5" t="s">
        <v>71</v>
      </c>
      <c r="O53" s="14" t="s">
        <v>357</v>
      </c>
      <c r="P53" s="14"/>
    </row>
    <row r="54" spans="1:16" s="1" customFormat="1" ht="12">
      <c r="A54" s="30" t="s">
        <v>1098</v>
      </c>
      <c r="B54" s="5" t="s">
        <v>17</v>
      </c>
      <c r="C54" s="17" t="s">
        <v>46</v>
      </c>
      <c r="D54" s="14"/>
      <c r="E54" s="14"/>
      <c r="F54" s="7">
        <f>F52*0.579*1000</f>
        <v>86.85</v>
      </c>
      <c r="G54" s="17" t="s">
        <v>1027</v>
      </c>
      <c r="H54" s="26" t="s">
        <v>1049</v>
      </c>
      <c r="I54" s="26" t="s">
        <v>49</v>
      </c>
      <c r="J54" s="17"/>
      <c r="K54" s="33" t="s">
        <v>1060</v>
      </c>
      <c r="L54" s="5">
        <v>100</v>
      </c>
      <c r="M54" s="5" t="s">
        <v>1051</v>
      </c>
      <c r="N54" s="5" t="s">
        <v>71</v>
      </c>
      <c r="O54" s="14" t="s">
        <v>357</v>
      </c>
      <c r="P54" s="14"/>
    </row>
    <row r="55" spans="1:16" ht="24">
      <c r="A55" s="28" t="s">
        <v>1099</v>
      </c>
      <c r="B55" s="3" t="s">
        <v>1</v>
      </c>
      <c r="C55" s="9" t="s">
        <v>31</v>
      </c>
      <c r="D55" s="9" t="s">
        <v>32</v>
      </c>
      <c r="E55" s="9" t="s">
        <v>33</v>
      </c>
      <c r="F55" s="9" t="s">
        <v>124</v>
      </c>
      <c r="G55" s="29" t="s">
        <v>125</v>
      </c>
      <c r="H55" s="29" t="s">
        <v>126</v>
      </c>
      <c r="I55" s="3" t="s">
        <v>36</v>
      </c>
      <c r="J55" s="3" t="s">
        <v>37</v>
      </c>
      <c r="K55" s="3" t="s">
        <v>38</v>
      </c>
      <c r="L55" s="29" t="s">
        <v>39</v>
      </c>
      <c r="M55" s="9" t="s">
        <v>40</v>
      </c>
      <c r="N55" s="9" t="s">
        <v>41</v>
      </c>
      <c r="O55" s="9" t="s">
        <v>42</v>
      </c>
      <c r="P55" s="9" t="s">
        <v>43</v>
      </c>
    </row>
    <row r="56" spans="1:16" ht="24.75">
      <c r="A56" s="30" t="s">
        <v>1100</v>
      </c>
      <c r="B56" s="18" t="s">
        <v>89</v>
      </c>
      <c r="C56" s="8" t="s">
        <v>46</v>
      </c>
      <c r="D56" s="14"/>
      <c r="E56" s="14"/>
      <c r="F56" s="18" t="s">
        <v>1101</v>
      </c>
      <c r="G56" s="18" t="s">
        <v>143</v>
      </c>
      <c r="H56" s="18"/>
      <c r="I56" s="18" t="s">
        <v>49</v>
      </c>
      <c r="J56" s="18"/>
      <c r="K56" s="114" t="s">
        <v>1102</v>
      </c>
      <c r="L56" s="14"/>
      <c r="M56" s="5" t="s">
        <v>1103</v>
      </c>
      <c r="N56" s="5" t="s">
        <v>71</v>
      </c>
      <c r="O56" s="14" t="s">
        <v>1052</v>
      </c>
      <c r="P56" s="14"/>
    </row>
    <row r="57" spans="1:16">
      <c r="A57" s="30" t="s">
        <v>1104</v>
      </c>
      <c r="B57" s="18" t="s">
        <v>89</v>
      </c>
      <c r="C57" s="8" t="s">
        <v>46</v>
      </c>
      <c r="D57" s="14"/>
      <c r="E57" s="14"/>
      <c r="F57" s="8">
        <v>0</v>
      </c>
      <c r="G57" s="18"/>
      <c r="H57" s="8"/>
      <c r="I57" s="18" t="s">
        <v>49</v>
      </c>
      <c r="J57" s="8"/>
      <c r="K57" s="8"/>
      <c r="L57" s="35" t="s">
        <v>1029</v>
      </c>
      <c r="M57" s="5" t="s">
        <v>1103</v>
      </c>
      <c r="N57" s="5" t="s">
        <v>71</v>
      </c>
      <c r="O57" s="14" t="s">
        <v>1052</v>
      </c>
      <c r="P57" s="14"/>
    </row>
    <row r="58" spans="1:16">
      <c r="A58" s="30" t="s">
        <v>1105</v>
      </c>
      <c r="B58" s="18" t="s">
        <v>89</v>
      </c>
      <c r="C58" s="8" t="s">
        <v>46</v>
      </c>
      <c r="D58" s="14"/>
      <c r="E58" s="14"/>
      <c r="F58" s="17">
        <v>25</v>
      </c>
      <c r="G58" s="18" t="s">
        <v>1106</v>
      </c>
      <c r="H58" s="17" t="s">
        <v>1107</v>
      </c>
      <c r="I58" s="18" t="s">
        <v>49</v>
      </c>
      <c r="J58" s="17"/>
      <c r="K58" s="19"/>
      <c r="L58" s="12" t="s">
        <v>1031</v>
      </c>
      <c r="M58" s="5" t="s">
        <v>1103</v>
      </c>
      <c r="N58" s="5" t="s">
        <v>71</v>
      </c>
      <c r="O58" s="14" t="s">
        <v>1052</v>
      </c>
      <c r="P58" s="14"/>
    </row>
    <row r="59" spans="1:16">
      <c r="A59" s="30" t="s">
        <v>1108</v>
      </c>
      <c r="B59" s="18" t="s">
        <v>89</v>
      </c>
      <c r="C59" s="8" t="s">
        <v>46</v>
      </c>
      <c r="D59" s="14"/>
      <c r="E59" s="14"/>
      <c r="F59" s="17">
        <v>1.2</v>
      </c>
      <c r="G59" s="18" t="s">
        <v>1106</v>
      </c>
      <c r="H59" s="17" t="s">
        <v>1107</v>
      </c>
      <c r="I59" s="18" t="s">
        <v>49</v>
      </c>
      <c r="J59" s="17"/>
      <c r="K59" s="19"/>
      <c r="L59" s="8" t="s">
        <v>1036</v>
      </c>
      <c r="M59" s="5" t="s">
        <v>1103</v>
      </c>
      <c r="N59" s="5" t="s">
        <v>71</v>
      </c>
      <c r="O59" s="14" t="s">
        <v>1052</v>
      </c>
      <c r="P59" s="14"/>
    </row>
    <row r="60" spans="1:16" ht="24">
      <c r="A60" s="30" t="s">
        <v>1109</v>
      </c>
      <c r="B60" s="115" t="s">
        <v>89</v>
      </c>
      <c r="C60" s="116" t="s">
        <v>46</v>
      </c>
      <c r="D60" s="115"/>
      <c r="E60" s="115"/>
      <c r="F60" s="116" t="s">
        <v>1110</v>
      </c>
      <c r="G60" s="115"/>
      <c r="H60" s="116"/>
      <c r="I60" s="116" t="s">
        <v>49</v>
      </c>
      <c r="J60" s="116"/>
      <c r="K60" s="116" t="s">
        <v>1111</v>
      </c>
      <c r="L60" s="8"/>
      <c r="M60" s="5" t="s">
        <v>1103</v>
      </c>
      <c r="N60" s="5" t="s">
        <v>71</v>
      </c>
      <c r="O60" s="14" t="s">
        <v>1052</v>
      </c>
      <c r="P60" s="14"/>
    </row>
    <row r="61" spans="1:16">
      <c r="A61" s="30" t="s">
        <v>1112</v>
      </c>
      <c r="B61" s="18" t="s">
        <v>89</v>
      </c>
      <c r="C61" s="8" t="s">
        <v>46</v>
      </c>
      <c r="D61" s="14"/>
      <c r="E61" s="14"/>
      <c r="F61" s="20">
        <v>116</v>
      </c>
      <c r="G61" s="18" t="s">
        <v>1106</v>
      </c>
      <c r="H61" s="17" t="s">
        <v>1107</v>
      </c>
      <c r="I61" s="18" t="s">
        <v>49</v>
      </c>
      <c r="J61" s="17"/>
      <c r="K61" s="33"/>
      <c r="L61" s="14"/>
      <c r="M61" s="5" t="s">
        <v>1103</v>
      </c>
      <c r="N61" s="5" t="s">
        <v>71</v>
      </c>
      <c r="O61" s="14" t="s">
        <v>1052</v>
      </c>
      <c r="P61" s="14"/>
    </row>
    <row r="62" spans="1:16" ht="36.75">
      <c r="A62" s="30" t="s">
        <v>1113</v>
      </c>
      <c r="B62" s="115"/>
      <c r="C62" s="116"/>
      <c r="D62" s="115"/>
      <c r="E62" s="115"/>
      <c r="F62" s="115"/>
      <c r="G62" s="115"/>
      <c r="H62" s="115"/>
      <c r="I62" s="115" t="s">
        <v>49</v>
      </c>
      <c r="J62" s="116"/>
      <c r="K62" s="117" t="s">
        <v>1114</v>
      </c>
      <c r="L62" s="14"/>
      <c r="M62" s="5" t="s">
        <v>1103</v>
      </c>
      <c r="N62" s="5" t="s">
        <v>71</v>
      </c>
      <c r="O62" s="14" t="s">
        <v>1052</v>
      </c>
      <c r="P62" s="14"/>
    </row>
    <row r="63" spans="1:16" ht="72.75">
      <c r="A63" s="30" t="s">
        <v>1115</v>
      </c>
      <c r="B63" s="17" t="s">
        <v>1116</v>
      </c>
      <c r="C63" s="8" t="s">
        <v>46</v>
      </c>
      <c r="D63" s="14"/>
      <c r="E63" s="14"/>
      <c r="F63" s="8" t="s">
        <v>1117</v>
      </c>
      <c r="G63" s="17" t="s">
        <v>1118</v>
      </c>
      <c r="H63" s="17" t="s">
        <v>1119</v>
      </c>
      <c r="I63" s="18" t="s">
        <v>49</v>
      </c>
      <c r="J63" s="17"/>
      <c r="K63" s="114" t="s">
        <v>1120</v>
      </c>
      <c r="L63" s="4"/>
      <c r="M63" s="5" t="s">
        <v>1103</v>
      </c>
      <c r="N63" s="5" t="s">
        <v>71</v>
      </c>
      <c r="O63" s="14" t="s">
        <v>1052</v>
      </c>
      <c r="P63" s="14"/>
    </row>
    <row r="64" spans="1:16">
      <c r="A64" s="30" t="s">
        <v>1121</v>
      </c>
      <c r="B64" s="18" t="s">
        <v>89</v>
      </c>
      <c r="C64" s="8" t="s">
        <v>46</v>
      </c>
      <c r="D64" s="14"/>
      <c r="E64" s="14"/>
      <c r="F64" s="8">
        <v>5.9</v>
      </c>
      <c r="G64" s="17" t="s">
        <v>1106</v>
      </c>
      <c r="H64" s="17" t="s">
        <v>1107</v>
      </c>
      <c r="I64" s="18" t="s">
        <v>49</v>
      </c>
      <c r="J64" s="17"/>
      <c r="K64" s="33"/>
      <c r="L64" s="21"/>
      <c r="M64" s="5" t="s">
        <v>1103</v>
      </c>
      <c r="N64" s="5" t="s">
        <v>71</v>
      </c>
      <c r="O64" s="14" t="s">
        <v>1052</v>
      </c>
      <c r="P64" s="14"/>
    </row>
    <row r="65" spans="1:16">
      <c r="A65" s="30" t="s">
        <v>1122</v>
      </c>
      <c r="B65" s="18" t="s">
        <v>89</v>
      </c>
      <c r="C65" s="8" t="s">
        <v>46</v>
      </c>
      <c r="D65" s="14"/>
      <c r="E65" s="14"/>
      <c r="F65" s="26">
        <v>0</v>
      </c>
      <c r="G65" s="17"/>
      <c r="H65" s="26"/>
      <c r="I65" s="18" t="s">
        <v>49</v>
      </c>
      <c r="J65" s="26"/>
      <c r="K65" s="33" t="s">
        <v>1123</v>
      </c>
      <c r="L65" s="4"/>
      <c r="M65" s="5" t="s">
        <v>1103</v>
      </c>
      <c r="N65" s="5" t="s">
        <v>71</v>
      </c>
      <c r="O65" s="14" t="s">
        <v>1052</v>
      </c>
      <c r="P65" s="14"/>
    </row>
    <row r="66" spans="1:16" ht="24.75">
      <c r="A66" s="30" t="s">
        <v>1124</v>
      </c>
      <c r="B66" s="26" t="s">
        <v>1116</v>
      </c>
      <c r="C66" s="8" t="s">
        <v>46</v>
      </c>
      <c r="D66" s="14"/>
      <c r="E66" s="14"/>
      <c r="F66" s="26" t="s">
        <v>1125</v>
      </c>
      <c r="G66" s="17" t="s">
        <v>1126</v>
      </c>
      <c r="H66" s="26" t="s">
        <v>1127</v>
      </c>
      <c r="I66" s="18" t="s">
        <v>49</v>
      </c>
      <c r="J66" s="5"/>
      <c r="K66" s="114" t="s">
        <v>1102</v>
      </c>
      <c r="L66" s="4"/>
      <c r="M66" s="5" t="s">
        <v>1103</v>
      </c>
      <c r="N66" s="5" t="s">
        <v>71</v>
      </c>
      <c r="O66" s="14" t="s">
        <v>1052</v>
      </c>
      <c r="P66" s="14"/>
    </row>
    <row r="67" spans="1:16" ht="48.75">
      <c r="A67" s="30" t="s">
        <v>1128</v>
      </c>
      <c r="B67" s="18" t="s">
        <v>89</v>
      </c>
      <c r="C67" s="8" t="s">
        <v>46</v>
      </c>
      <c r="D67" s="14"/>
      <c r="E67" s="14"/>
      <c r="F67" s="26" t="s">
        <v>1129</v>
      </c>
      <c r="G67" s="17" t="s">
        <v>1130</v>
      </c>
      <c r="H67" s="26" t="s">
        <v>1131</v>
      </c>
      <c r="I67" s="18" t="s">
        <v>49</v>
      </c>
      <c r="J67" s="5"/>
      <c r="K67" s="33" t="s">
        <v>1132</v>
      </c>
      <c r="L67" s="4"/>
      <c r="M67" s="5" t="s">
        <v>1103</v>
      </c>
      <c r="N67" s="5" t="s">
        <v>71</v>
      </c>
      <c r="O67" s="14" t="s">
        <v>1052</v>
      </c>
      <c r="P67" s="14"/>
    </row>
    <row r="68" spans="1:16" ht="24">
      <c r="A68" s="30" t="s">
        <v>1133</v>
      </c>
      <c r="B68" s="115"/>
      <c r="C68" s="116"/>
      <c r="D68" s="115"/>
      <c r="E68" s="115"/>
      <c r="F68" s="116"/>
      <c r="G68" s="116"/>
      <c r="H68" s="116"/>
      <c r="I68" s="116" t="s">
        <v>49</v>
      </c>
      <c r="J68" s="116"/>
      <c r="K68" s="115" t="s">
        <v>1134</v>
      </c>
      <c r="L68" s="4"/>
      <c r="M68" s="5" t="s">
        <v>1103</v>
      </c>
      <c r="N68" s="5" t="s">
        <v>71</v>
      </c>
      <c r="O68" s="14" t="s">
        <v>1052</v>
      </c>
      <c r="P68" s="14"/>
    </row>
    <row r="69" spans="1:16">
      <c r="A69" s="30" t="s">
        <v>1135</v>
      </c>
      <c r="B69" s="18" t="s">
        <v>1116</v>
      </c>
      <c r="C69" s="8" t="s">
        <v>46</v>
      </c>
      <c r="D69" s="14"/>
      <c r="E69" s="14"/>
      <c r="F69" s="26" t="s">
        <v>1136</v>
      </c>
      <c r="G69" s="17" t="s">
        <v>1130</v>
      </c>
      <c r="H69" s="26" t="s">
        <v>1137</v>
      </c>
      <c r="I69" s="18" t="s">
        <v>49</v>
      </c>
      <c r="J69" s="8"/>
      <c r="K69" s="26"/>
      <c r="L69" s="4"/>
      <c r="M69" s="5" t="s">
        <v>1103</v>
      </c>
      <c r="N69" s="5" t="s">
        <v>71</v>
      </c>
      <c r="O69" s="14" t="s">
        <v>1052</v>
      </c>
      <c r="P69" s="14"/>
    </row>
    <row r="70" spans="1:16" ht="24">
      <c r="A70" s="30" t="s">
        <v>1138</v>
      </c>
      <c r="B70" s="18" t="s">
        <v>89</v>
      </c>
      <c r="C70" s="8" t="s">
        <v>46</v>
      </c>
      <c r="D70" s="14"/>
      <c r="E70" s="14"/>
      <c r="F70" s="8" t="s">
        <v>1139</v>
      </c>
      <c r="G70" s="17"/>
      <c r="H70" s="8"/>
      <c r="I70" s="18" t="s">
        <v>49</v>
      </c>
      <c r="J70" s="8"/>
      <c r="K70" s="116" t="s">
        <v>1111</v>
      </c>
      <c r="L70" s="4"/>
      <c r="M70" s="5" t="s">
        <v>1103</v>
      </c>
      <c r="N70" s="5" t="s">
        <v>71</v>
      </c>
      <c r="O70" s="14" t="s">
        <v>1052</v>
      </c>
      <c r="P70" s="14"/>
    </row>
    <row r="71" spans="1:16">
      <c r="A71" s="10" t="s">
        <v>1140</v>
      </c>
      <c r="B71" s="18" t="s">
        <v>89</v>
      </c>
      <c r="C71" s="8" t="s">
        <v>46</v>
      </c>
      <c r="D71" s="14"/>
      <c r="E71" s="14"/>
      <c r="F71" s="18">
        <v>4.5</v>
      </c>
      <c r="G71" s="18" t="s">
        <v>1106</v>
      </c>
      <c r="H71" s="18" t="s">
        <v>1107</v>
      </c>
      <c r="I71" s="18" t="s">
        <v>49</v>
      </c>
      <c r="J71" s="26"/>
      <c r="K71" s="33"/>
      <c r="L71" s="4"/>
      <c r="M71" s="5" t="s">
        <v>1103</v>
      </c>
      <c r="N71" s="5" t="s">
        <v>71</v>
      </c>
      <c r="O71" s="14" t="s">
        <v>1052</v>
      </c>
      <c r="P71" s="14"/>
    </row>
    <row r="72" spans="1:16">
      <c r="A72" s="30" t="s">
        <v>1141</v>
      </c>
      <c r="B72" s="18" t="s">
        <v>89</v>
      </c>
      <c r="C72" s="8" t="s">
        <v>46</v>
      </c>
      <c r="D72" s="14"/>
      <c r="E72" s="14"/>
      <c r="F72" s="26">
        <v>145</v>
      </c>
      <c r="G72" s="17" t="s">
        <v>1106</v>
      </c>
      <c r="H72" s="26" t="s">
        <v>1107</v>
      </c>
      <c r="I72" s="18" t="s">
        <v>49</v>
      </c>
      <c r="J72" s="26"/>
      <c r="K72" s="33"/>
      <c r="L72" s="4"/>
      <c r="M72" s="5" t="s">
        <v>1103</v>
      </c>
      <c r="N72" s="5" t="s">
        <v>71</v>
      </c>
      <c r="O72" s="14" t="s">
        <v>1052</v>
      </c>
      <c r="P72" s="14"/>
    </row>
    <row r="73" spans="1:16">
      <c r="A73" s="30" t="s">
        <v>1142</v>
      </c>
      <c r="B73" s="36" t="s">
        <v>89</v>
      </c>
      <c r="C73" s="35" t="s">
        <v>46</v>
      </c>
      <c r="D73" s="36"/>
      <c r="E73" s="36"/>
      <c r="F73" s="36"/>
      <c r="G73" s="36"/>
      <c r="H73" s="36"/>
      <c r="I73" s="36" t="s">
        <v>49</v>
      </c>
      <c r="J73" s="118"/>
      <c r="K73" s="114" t="s">
        <v>1143</v>
      </c>
      <c r="L73" s="4"/>
      <c r="M73" s="5" t="s">
        <v>1103</v>
      </c>
      <c r="N73" s="5" t="s">
        <v>71</v>
      </c>
      <c r="O73" s="14" t="s">
        <v>1052</v>
      </c>
      <c r="P73" s="14"/>
    </row>
    <row r="74" spans="1:16" ht="36">
      <c r="A74" s="30" t="s">
        <v>1144</v>
      </c>
      <c r="B74" s="26" t="s">
        <v>66</v>
      </c>
      <c r="C74" s="8" t="s">
        <v>46</v>
      </c>
      <c r="D74" s="14"/>
      <c r="E74" s="14"/>
      <c r="F74" s="26" t="s">
        <v>193</v>
      </c>
      <c r="G74" s="26" t="s">
        <v>194</v>
      </c>
      <c r="H74" s="26"/>
      <c r="I74" s="18" t="s">
        <v>49</v>
      </c>
      <c r="J74" s="119"/>
      <c r="K74" s="47" t="s">
        <v>1145</v>
      </c>
      <c r="L74" s="4"/>
      <c r="M74" s="5" t="s">
        <v>1103</v>
      </c>
      <c r="N74" s="5" t="s">
        <v>71</v>
      </c>
      <c r="O74" s="14" t="s">
        <v>1052</v>
      </c>
      <c r="P74" s="14"/>
    </row>
    <row r="75" spans="1:16" ht="24.75">
      <c r="A75" s="30" t="s">
        <v>1146</v>
      </c>
      <c r="B75" s="18" t="s">
        <v>89</v>
      </c>
      <c r="C75" s="8" t="s">
        <v>46</v>
      </c>
      <c r="D75" s="14"/>
      <c r="E75" s="14"/>
      <c r="F75" s="18" t="s">
        <v>1101</v>
      </c>
      <c r="G75" s="18"/>
      <c r="H75" s="18"/>
      <c r="I75" s="18" t="s">
        <v>49</v>
      </c>
      <c r="J75" s="18"/>
      <c r="K75" s="114" t="s">
        <v>1102</v>
      </c>
      <c r="L75" s="4"/>
      <c r="M75" s="5" t="s">
        <v>1103</v>
      </c>
      <c r="N75" s="5" t="s">
        <v>71</v>
      </c>
      <c r="O75" s="14" t="s">
        <v>1052</v>
      </c>
      <c r="P75" s="14"/>
    </row>
    <row r="76" spans="1:16">
      <c r="A76" s="30" t="s">
        <v>1147</v>
      </c>
      <c r="B76" s="18" t="s">
        <v>89</v>
      </c>
      <c r="C76" s="8" t="s">
        <v>46</v>
      </c>
      <c r="D76" s="14"/>
      <c r="E76" s="14"/>
      <c r="F76" s="8">
        <v>0</v>
      </c>
      <c r="G76" s="18"/>
      <c r="H76" s="8"/>
      <c r="I76" s="18" t="s">
        <v>49</v>
      </c>
      <c r="J76" s="8"/>
      <c r="K76" s="35" t="s">
        <v>1148</v>
      </c>
      <c r="L76" s="4"/>
      <c r="M76" s="5" t="s">
        <v>1103</v>
      </c>
      <c r="N76" s="5" t="s">
        <v>71</v>
      </c>
      <c r="O76" s="14" t="s">
        <v>1052</v>
      </c>
      <c r="P76" s="14"/>
    </row>
    <row r="77" spans="1:16">
      <c r="A77" s="30" t="s">
        <v>1149</v>
      </c>
      <c r="B77" s="18" t="s">
        <v>89</v>
      </c>
      <c r="C77" s="8" t="s">
        <v>46</v>
      </c>
      <c r="D77" s="14"/>
      <c r="E77" s="14"/>
      <c r="F77" s="17">
        <v>16</v>
      </c>
      <c r="G77" s="18" t="s">
        <v>1106</v>
      </c>
      <c r="H77" s="17" t="s">
        <v>1107</v>
      </c>
      <c r="I77" s="18" t="s">
        <v>49</v>
      </c>
      <c r="J77" s="17"/>
      <c r="K77" s="19"/>
      <c r="L77" s="4"/>
      <c r="M77" s="5" t="s">
        <v>1103</v>
      </c>
      <c r="N77" s="5" t="s">
        <v>71</v>
      </c>
      <c r="O77" s="14" t="s">
        <v>1052</v>
      </c>
      <c r="P77" s="14"/>
    </row>
    <row r="78" spans="1:16">
      <c r="A78" s="30" t="s">
        <v>1150</v>
      </c>
      <c r="B78" s="18" t="s">
        <v>89</v>
      </c>
      <c r="C78" s="8" t="s">
        <v>46</v>
      </c>
      <c r="D78" s="14"/>
      <c r="E78" s="14"/>
      <c r="F78" s="17">
        <v>1E-4</v>
      </c>
      <c r="G78" s="18" t="s">
        <v>1106</v>
      </c>
      <c r="H78" s="17" t="s">
        <v>1107</v>
      </c>
      <c r="I78" s="18" t="s">
        <v>49</v>
      </c>
      <c r="J78" s="17"/>
      <c r="K78" s="19"/>
      <c r="L78" s="4"/>
      <c r="M78" s="5" t="s">
        <v>1103</v>
      </c>
      <c r="N78" s="5" t="s">
        <v>71</v>
      </c>
      <c r="O78" s="14" t="s">
        <v>1052</v>
      </c>
      <c r="P78" s="14"/>
    </row>
    <row r="79" spans="1:16" ht="24">
      <c r="A79" s="30" t="s">
        <v>1151</v>
      </c>
      <c r="B79" s="115" t="s">
        <v>89</v>
      </c>
      <c r="C79" s="116" t="s">
        <v>46</v>
      </c>
      <c r="D79" s="115"/>
      <c r="E79" s="115"/>
      <c r="F79" s="116" t="s">
        <v>1110</v>
      </c>
      <c r="G79" s="115"/>
      <c r="H79" s="116"/>
      <c r="I79" s="116" t="s">
        <v>49</v>
      </c>
      <c r="J79" s="116"/>
      <c r="K79" s="116" t="s">
        <v>1111</v>
      </c>
      <c r="L79" s="4"/>
      <c r="M79" s="5" t="s">
        <v>1103</v>
      </c>
      <c r="N79" s="5" t="s">
        <v>71</v>
      </c>
      <c r="O79" s="14" t="s">
        <v>1052</v>
      </c>
      <c r="P79" s="14"/>
    </row>
    <row r="80" spans="1:16">
      <c r="A80" s="30" t="s">
        <v>1152</v>
      </c>
      <c r="B80" s="18" t="s">
        <v>89</v>
      </c>
      <c r="C80" s="8" t="s">
        <v>46</v>
      </c>
      <c r="D80" s="14"/>
      <c r="E80" s="14"/>
      <c r="F80" s="20">
        <v>20</v>
      </c>
      <c r="G80" s="18" t="s">
        <v>1106</v>
      </c>
      <c r="H80" s="17" t="s">
        <v>1107</v>
      </c>
      <c r="I80" s="18" t="s">
        <v>49</v>
      </c>
      <c r="J80" s="17"/>
      <c r="K80" s="33"/>
      <c r="L80" s="4"/>
      <c r="M80" s="5" t="s">
        <v>1103</v>
      </c>
      <c r="N80" s="5" t="s">
        <v>71</v>
      </c>
      <c r="O80" s="14" t="s">
        <v>1052</v>
      </c>
      <c r="P80" s="14"/>
    </row>
    <row r="81" spans="1:16" ht="36.75">
      <c r="A81" s="30" t="s">
        <v>1153</v>
      </c>
      <c r="B81" s="18" t="s">
        <v>89</v>
      </c>
      <c r="C81" s="8" t="s">
        <v>46</v>
      </c>
      <c r="D81" s="14"/>
      <c r="E81" s="14"/>
      <c r="F81" s="18"/>
      <c r="G81" s="18"/>
      <c r="H81" s="18"/>
      <c r="I81" s="18" t="s">
        <v>49</v>
      </c>
      <c r="J81" s="17"/>
      <c r="K81" s="114" t="s">
        <v>1154</v>
      </c>
      <c r="L81" s="4"/>
      <c r="M81" s="5" t="s">
        <v>1103</v>
      </c>
      <c r="N81" s="5" t="s">
        <v>71</v>
      </c>
      <c r="O81" s="14" t="s">
        <v>1052</v>
      </c>
      <c r="P81" s="14"/>
    </row>
    <row r="82" spans="1:16" ht="72.75">
      <c r="A82" s="30" t="s">
        <v>1155</v>
      </c>
      <c r="B82" s="17" t="s">
        <v>1116</v>
      </c>
      <c r="C82" s="8" t="s">
        <v>46</v>
      </c>
      <c r="D82" s="14"/>
      <c r="E82" s="14"/>
      <c r="F82" s="8" t="s">
        <v>1117</v>
      </c>
      <c r="G82" s="17" t="s">
        <v>1118</v>
      </c>
      <c r="H82" s="17" t="s">
        <v>1119</v>
      </c>
      <c r="I82" s="18" t="s">
        <v>49</v>
      </c>
      <c r="J82" s="17"/>
      <c r="K82" s="114" t="s">
        <v>1120</v>
      </c>
      <c r="L82" s="4"/>
      <c r="M82" s="5" t="s">
        <v>1103</v>
      </c>
      <c r="N82" s="5" t="s">
        <v>71</v>
      </c>
      <c r="O82" s="14" t="s">
        <v>1052</v>
      </c>
      <c r="P82" s="14"/>
    </row>
    <row r="83" spans="1:16">
      <c r="A83" s="30" t="s">
        <v>1156</v>
      </c>
      <c r="B83" s="18" t="s">
        <v>89</v>
      </c>
      <c r="C83" s="8" t="s">
        <v>46</v>
      </c>
      <c r="D83" s="14"/>
      <c r="E83" s="14"/>
      <c r="F83" s="8">
        <v>0</v>
      </c>
      <c r="G83" s="17" t="s">
        <v>1106</v>
      </c>
      <c r="H83" s="17" t="s">
        <v>1107</v>
      </c>
      <c r="I83" s="18" t="s">
        <v>49</v>
      </c>
      <c r="J83" s="17"/>
      <c r="K83" s="33"/>
      <c r="L83" s="21"/>
      <c r="M83" s="5" t="s">
        <v>1103</v>
      </c>
      <c r="N83" s="5" t="s">
        <v>71</v>
      </c>
      <c r="O83" s="14" t="s">
        <v>1052</v>
      </c>
      <c r="P83" s="14"/>
    </row>
    <row r="84" spans="1:16">
      <c r="A84" s="30" t="s">
        <v>1157</v>
      </c>
      <c r="B84" s="18" t="s">
        <v>89</v>
      </c>
      <c r="C84" s="8" t="s">
        <v>46</v>
      </c>
      <c r="D84" s="14"/>
      <c r="E84" s="14"/>
      <c r="F84" s="26">
        <v>0</v>
      </c>
      <c r="G84" s="17"/>
      <c r="H84" s="26"/>
      <c r="I84" s="18" t="s">
        <v>49</v>
      </c>
      <c r="J84" s="26"/>
      <c r="K84" s="33" t="s">
        <v>1123</v>
      </c>
      <c r="L84" s="4"/>
      <c r="M84" s="5" t="s">
        <v>1103</v>
      </c>
      <c r="N84" s="5" t="s">
        <v>71</v>
      </c>
      <c r="O84" s="14" t="s">
        <v>1052</v>
      </c>
      <c r="P84" s="14"/>
    </row>
    <row r="85" spans="1:16" ht="24.75">
      <c r="A85" s="30" t="s">
        <v>1158</v>
      </c>
      <c r="B85" s="26" t="s">
        <v>1116</v>
      </c>
      <c r="C85" s="8" t="s">
        <v>46</v>
      </c>
      <c r="D85" s="14"/>
      <c r="E85" s="14"/>
      <c r="F85" s="26" t="s">
        <v>1125</v>
      </c>
      <c r="G85" s="17" t="s">
        <v>1126</v>
      </c>
      <c r="H85" s="26" t="s">
        <v>1127</v>
      </c>
      <c r="I85" s="18" t="s">
        <v>49</v>
      </c>
      <c r="J85" s="5"/>
      <c r="K85" s="114" t="s">
        <v>1102</v>
      </c>
      <c r="L85" s="4"/>
      <c r="M85" s="5" t="s">
        <v>1103</v>
      </c>
      <c r="N85" s="5" t="s">
        <v>71</v>
      </c>
      <c r="O85" s="14" t="s">
        <v>1052</v>
      </c>
      <c r="P85" s="14"/>
    </row>
    <row r="86" spans="1:16" ht="48.75">
      <c r="A86" s="30" t="s">
        <v>1159</v>
      </c>
      <c r="B86" s="18" t="s">
        <v>89</v>
      </c>
      <c r="C86" s="8" t="s">
        <v>46</v>
      </c>
      <c r="D86" s="14"/>
      <c r="E86" s="14"/>
      <c r="F86" s="26" t="s">
        <v>1129</v>
      </c>
      <c r="G86" s="17" t="s">
        <v>1130</v>
      </c>
      <c r="H86" s="26" t="s">
        <v>1131</v>
      </c>
      <c r="I86" s="18" t="s">
        <v>49</v>
      </c>
      <c r="J86" s="5"/>
      <c r="K86" s="33" t="s">
        <v>1132</v>
      </c>
      <c r="L86" s="4"/>
      <c r="M86" s="5" t="s">
        <v>1103</v>
      </c>
      <c r="N86" s="5" t="s">
        <v>71</v>
      </c>
      <c r="O86" s="14" t="s">
        <v>1052</v>
      </c>
      <c r="P86" s="14"/>
    </row>
    <row r="87" spans="1:16">
      <c r="A87" s="30" t="s">
        <v>1160</v>
      </c>
      <c r="B87" s="18" t="s">
        <v>89</v>
      </c>
      <c r="C87" s="8" t="s">
        <v>46</v>
      </c>
      <c r="D87" s="14"/>
      <c r="E87" s="14"/>
      <c r="F87" s="8"/>
      <c r="G87" s="17"/>
      <c r="H87" s="8"/>
      <c r="I87" s="18" t="s">
        <v>49</v>
      </c>
      <c r="J87" s="8"/>
      <c r="K87" s="26"/>
      <c r="L87" s="4"/>
      <c r="M87" s="5" t="s">
        <v>1103</v>
      </c>
      <c r="N87" s="5" t="s">
        <v>71</v>
      </c>
      <c r="O87" s="14" t="s">
        <v>1052</v>
      </c>
      <c r="P87" s="14"/>
    </row>
    <row r="88" spans="1:16">
      <c r="A88" s="30" t="s">
        <v>1161</v>
      </c>
      <c r="B88" s="18" t="s">
        <v>1116</v>
      </c>
      <c r="C88" s="8" t="s">
        <v>46</v>
      </c>
      <c r="D88" s="14"/>
      <c r="E88" s="14"/>
      <c r="F88" s="26" t="s">
        <v>1136</v>
      </c>
      <c r="G88" s="17" t="s">
        <v>1130</v>
      </c>
      <c r="H88" s="26" t="s">
        <v>1137</v>
      </c>
      <c r="I88" s="18" t="s">
        <v>49</v>
      </c>
      <c r="J88" s="8"/>
      <c r="K88" s="26"/>
      <c r="L88" s="4"/>
      <c r="M88" s="5" t="s">
        <v>1103</v>
      </c>
      <c r="N88" s="5" t="s">
        <v>71</v>
      </c>
      <c r="O88" s="14" t="s">
        <v>1052</v>
      </c>
      <c r="P88" s="14"/>
    </row>
    <row r="89" spans="1:16" ht="24">
      <c r="A89" s="30" t="s">
        <v>1162</v>
      </c>
      <c r="B89" s="18" t="s">
        <v>89</v>
      </c>
      <c r="C89" s="8" t="s">
        <v>46</v>
      </c>
      <c r="D89" s="14"/>
      <c r="E89" s="14"/>
      <c r="F89" s="8" t="s">
        <v>1139</v>
      </c>
      <c r="G89" s="17"/>
      <c r="H89" s="8"/>
      <c r="I89" s="18" t="s">
        <v>49</v>
      </c>
      <c r="J89" s="8"/>
      <c r="K89" s="116" t="s">
        <v>1111</v>
      </c>
      <c r="L89" s="4"/>
      <c r="M89" s="5" t="s">
        <v>1103</v>
      </c>
      <c r="N89" s="5" t="s">
        <v>71</v>
      </c>
      <c r="O89" s="14" t="s">
        <v>1052</v>
      </c>
      <c r="P89" s="14"/>
    </row>
    <row r="90" spans="1:16">
      <c r="A90" s="10" t="s">
        <v>1163</v>
      </c>
      <c r="B90" s="18" t="s">
        <v>89</v>
      </c>
      <c r="C90" s="8" t="s">
        <v>46</v>
      </c>
      <c r="D90" s="14"/>
      <c r="E90" s="14"/>
      <c r="F90" s="18">
        <v>120</v>
      </c>
      <c r="G90" s="18" t="s">
        <v>1106</v>
      </c>
      <c r="H90" s="18" t="s">
        <v>1107</v>
      </c>
      <c r="I90" s="18" t="s">
        <v>49</v>
      </c>
      <c r="J90" s="26"/>
      <c r="K90" s="33"/>
      <c r="L90" s="4"/>
      <c r="M90" s="5" t="s">
        <v>1103</v>
      </c>
      <c r="N90" s="5" t="s">
        <v>71</v>
      </c>
      <c r="O90" s="14" t="s">
        <v>1052</v>
      </c>
      <c r="P90" s="14"/>
    </row>
    <row r="91" spans="1:16">
      <c r="A91" s="30" t="s">
        <v>1164</v>
      </c>
      <c r="B91" s="18" t="s">
        <v>89</v>
      </c>
      <c r="C91" s="8" t="s">
        <v>46</v>
      </c>
      <c r="D91" s="14"/>
      <c r="E91" s="14"/>
      <c r="F91" s="26">
        <v>15</v>
      </c>
      <c r="G91" s="17" t="s">
        <v>1106</v>
      </c>
      <c r="H91" s="26" t="s">
        <v>1107</v>
      </c>
      <c r="I91" s="18" t="s">
        <v>49</v>
      </c>
      <c r="J91" s="26"/>
      <c r="K91" s="33"/>
      <c r="L91" s="4"/>
      <c r="M91" s="5" t="s">
        <v>1103</v>
      </c>
      <c r="N91" s="5" t="s">
        <v>71</v>
      </c>
      <c r="O91" s="14" t="s">
        <v>1052</v>
      </c>
      <c r="P91" s="14"/>
    </row>
    <row r="92" spans="1:16">
      <c r="A92" s="30" t="s">
        <v>1165</v>
      </c>
      <c r="B92" s="36" t="s">
        <v>89</v>
      </c>
      <c r="C92" s="35" t="s">
        <v>46</v>
      </c>
      <c r="D92" s="36"/>
      <c r="E92" s="36"/>
      <c r="F92" s="36"/>
      <c r="G92" s="36"/>
      <c r="H92" s="36"/>
      <c r="I92" s="36" t="s">
        <v>49</v>
      </c>
      <c r="J92" s="114"/>
      <c r="K92" s="114" t="s">
        <v>1143</v>
      </c>
      <c r="L92" s="4"/>
      <c r="M92" s="5" t="s">
        <v>1103</v>
      </c>
      <c r="N92" s="5" t="s">
        <v>71</v>
      </c>
      <c r="O92" s="14" t="s">
        <v>1052</v>
      </c>
      <c r="P92" s="14"/>
    </row>
    <row r="93" spans="1:16" ht="36">
      <c r="A93" s="30" t="s">
        <v>1166</v>
      </c>
      <c r="B93" s="26" t="s">
        <v>66</v>
      </c>
      <c r="C93" s="8" t="s">
        <v>46</v>
      </c>
      <c r="D93" s="14"/>
      <c r="E93" s="14"/>
      <c r="F93" s="26" t="s">
        <v>193</v>
      </c>
      <c r="G93" s="26" t="s">
        <v>194</v>
      </c>
      <c r="H93" s="26"/>
      <c r="I93" s="18" t="s">
        <v>49</v>
      </c>
      <c r="J93" s="19"/>
      <c r="K93" s="33" t="s">
        <v>1145</v>
      </c>
      <c r="L93" s="4"/>
      <c r="M93" s="5" t="s">
        <v>1103</v>
      </c>
      <c r="N93" s="5" t="s">
        <v>71</v>
      </c>
      <c r="O93" s="14" t="s">
        <v>1052</v>
      </c>
      <c r="P93" s="14"/>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725</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Patient</vt:lpstr>
      <vt:lpstr>Blood Chemistry</vt:lpstr>
      <vt:lpstr>Cardiovascular</vt:lpstr>
      <vt:lpstr>CardiovascularExtended</vt:lpstr>
      <vt:lpstr>Endocrine</vt:lpstr>
      <vt:lpstr>Energy</vt:lpstr>
      <vt:lpstr>Gastrointestinal</vt:lpstr>
      <vt:lpstr>Nervous</vt:lpstr>
      <vt:lpstr>Renal</vt:lpstr>
      <vt:lpstr>Respiratory</vt:lpstr>
      <vt:lpstr>Tissue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Rachel Clipp ARA/SED</dc:creator>
  <dc:description/>
  <cp:lastModifiedBy>Aaron Bray</cp:lastModifiedBy>
  <cp:revision>85</cp:revision>
  <dcterms:created xsi:type="dcterms:W3CDTF">2014-01-03T14:43:46Z</dcterms:created>
  <dcterms:modified xsi:type="dcterms:W3CDTF">2024-09-03T02:10:42Z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